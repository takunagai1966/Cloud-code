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最終一覧表" sheetId="1" r:id="rId5"/>
    <sheet name="原価・上代マスター(色・関税込)" sheetId="2" r:id="rId6"/>
    <sheet name="型図一覧" sheetId="3" r:id="rId7"/>
    <sheet name="寝具シリーズ(40%)" sheetId="4" r:id="rId8"/>
    <sheet name="スウェット(35%)" sheetId="5" r:id="rId9"/>
    <sheet name="下着シリーズ(40%)" sheetId="6" r:id="rId10"/>
    <sheet name="下着 図形一覧" sheetId="7" r:id="rId11"/>
    <sheet name="エプロン&amp;タオル類(40%)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<sst xmlns="http://schemas.openxmlformats.org/spreadsheetml/2006/main" uniqueCount="237">
  <si>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最終一覧表（全カテゴリ｜卸</t>
    </r>
    <r>
      <rPr>
        <sz val="15"/>
        <color indexed="9"/>
        <rFont val="游ゴシック体 ミディアム"/>
      </rPr>
      <t>55%/60%</t>
    </r>
    <r>
      <rPr>
        <sz val="15"/>
        <color indexed="9"/>
        <rFont val="Noto Sans CJK SC"/>
      </rPr>
      <t>・粗利率）</t>
    </r>
  </si>
  <si>
    <r>
      <rPr>
        <sz val="10"/>
        <color indexed="12"/>
        <rFont val="Noto Sans CJK SC"/>
      </rPr>
      <t>原価率：衣料・スウェット</t>
    </r>
    <r>
      <rPr>
        <sz val="10"/>
        <color indexed="12"/>
        <rFont val="游ゴシック体 ミディアム"/>
      </rPr>
      <t>35%</t>
    </r>
    <r>
      <rPr>
        <sz val="10"/>
        <color indexed="12"/>
        <rFont val="Noto Sans CJK SC"/>
      </rPr>
      <t>／寝具・下着</t>
    </r>
    <r>
      <rPr>
        <sz val="10"/>
        <color indexed="12"/>
        <rFont val="游ゴシック体 ミディアム"/>
      </rPr>
      <t>40%</t>
    </r>
    <r>
      <rPr>
        <sz val="10"/>
        <color indexed="12"/>
        <rFont val="Noto Sans CJK SC"/>
      </rPr>
      <t>。上代は工場出し＋経費</t>
    </r>
    <r>
      <rPr>
        <sz val="10"/>
        <color indexed="12"/>
        <rFont val="游ゴシック体 ミディアム"/>
      </rPr>
      <t>20%</t>
    </r>
    <r>
      <rPr>
        <sz val="10"/>
        <color indexed="12"/>
        <rFont val="Noto Sans CJK SC"/>
      </rPr>
      <t>＋関税</t>
    </r>
    <r>
      <rPr>
        <sz val="10"/>
        <color indexed="12"/>
        <rFont val="游ゴシック体 ミディアム"/>
      </rPr>
      <t>÷</t>
    </r>
    <r>
      <rPr>
        <sz val="10"/>
        <color indexed="12"/>
        <rFont val="Noto Sans CJK SC"/>
      </rPr>
      <t>原価率。</t>
    </r>
  </si>
  <si>
    <t>経費率</t>
  </si>
  <si>
    <t>消費税</t>
  </si>
  <si>
    <r>
      <rPr>
        <sz val="11"/>
        <color indexed="9"/>
        <rFont val="Noto Sans CJK SC"/>
      </rPr>
      <t>卸掛率</t>
    </r>
    <r>
      <rPr>
        <sz val="11"/>
        <color indexed="9"/>
        <rFont val="游ゴシック体 ミディアム"/>
      </rPr>
      <t>A</t>
    </r>
  </si>
  <si>
    <r>
      <rPr>
        <sz val="9"/>
        <color indexed="9"/>
        <rFont val="Noto Sans CJK SC"/>
      </rPr>
      <t>対 上代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税抜</t>
    </r>
    <r>
      <rPr>
        <sz val="9"/>
        <color indexed="9"/>
        <rFont val="游ゴシック体 ミディアム"/>
      </rPr>
      <t>)</t>
    </r>
  </si>
  <si>
    <r>
      <rPr>
        <sz val="11"/>
        <color indexed="9"/>
        <rFont val="Noto Sans CJK SC"/>
      </rPr>
      <t>卸掛率</t>
    </r>
    <r>
      <rPr>
        <sz val="11"/>
        <color indexed="9"/>
        <rFont val="游ゴシック体 ミディアム"/>
      </rPr>
      <t>B</t>
    </r>
  </si>
  <si>
    <t>カテゴリ</t>
  </si>
  <si>
    <t>品番／品目</t>
  </si>
  <si>
    <t>数量</t>
  </si>
  <si>
    <r>
      <rPr>
        <sz val="9"/>
        <color indexed="10"/>
        <rFont val="Noto Sans CJK SC"/>
      </rPr>
      <t xml:space="preserve">工場出し
</t>
    </r>
    <r>
      <rPr>
        <sz val="9"/>
        <color indexed="10"/>
        <rFont val="游ゴシック体 ミディアム"/>
      </rPr>
      <t>(¥)</t>
    </r>
  </si>
  <si>
    <t>関税率</t>
  </si>
  <si>
    <t>原価率</t>
  </si>
  <si>
    <r>
      <rPr>
        <sz val="9"/>
        <color indexed="10"/>
        <rFont val="Noto Sans CJK SC"/>
      </rPr>
      <t xml:space="preserve">総原価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</si>
  <si>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想定上代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税抜</t>
    </r>
    <r>
      <rPr>
        <sz val="9"/>
        <color indexed="10"/>
        <rFont val="游ゴシック体 ミディアム"/>
      </rPr>
      <t>)</t>
    </r>
  </si>
  <si>
    <r>
      <rPr>
        <sz val="9"/>
        <color indexed="10"/>
        <rFont val="Noto Sans CJK SC"/>
      </rPr>
      <t xml:space="preserve">想定上代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税込</t>
    </r>
    <r>
      <rPr>
        <sz val="9"/>
        <color indexed="10"/>
        <rFont val="游ゴシック体 ミディアム"/>
      </rPr>
      <t>)</t>
    </r>
  </si>
  <si>
    <r>
      <rPr>
        <sz val="9"/>
        <color indexed="10"/>
        <rFont val="Noto Sans CJK SC"/>
      </rPr>
      <t>卸</t>
    </r>
    <r>
      <rPr>
        <sz val="9"/>
        <color indexed="10"/>
        <rFont val="游ゴシック体 ミディアム"/>
      </rPr>
      <t xml:space="preserve">55%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</si>
  <si>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>卸</t>
    </r>
    <r>
      <rPr>
        <sz val="9"/>
        <color indexed="10"/>
        <rFont val="游ゴシック体 ミディアム"/>
      </rPr>
      <t xml:space="preserve">60%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</si>
  <si>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游ゴシック体 ミディアム"/>
      </rPr>
      <t>ahum</t>
    </r>
    <r>
      <rPr>
        <sz val="9"/>
        <color indexed="10"/>
        <rFont val="Noto Sans CJK SC"/>
      </rPr>
      <t xml:space="preserve">粗利率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卸</t>
    </r>
    <r>
      <rPr>
        <sz val="9"/>
        <color indexed="10"/>
        <rFont val="游ゴシック体 ミディアム"/>
      </rPr>
      <t>55%)</t>
    </r>
  </si>
  <si>
    <r>
      <rPr>
        <sz val="9"/>
        <color indexed="10"/>
        <rFont val="游ゴシック体 ミディアム"/>
      </rPr>
      <t>ahum</t>
    </r>
    <r>
      <rPr>
        <sz val="9"/>
        <color indexed="10"/>
        <rFont val="Noto Sans CJK SC"/>
      </rPr>
      <t xml:space="preserve">粗利率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卸</t>
    </r>
    <r>
      <rPr>
        <sz val="9"/>
        <color indexed="10"/>
        <rFont val="游ゴシック体 ミディアム"/>
      </rPr>
      <t>60%)</t>
    </r>
  </si>
  <si>
    <t>競合</t>
  </si>
  <si>
    <r>
      <rPr>
        <sz val="9"/>
        <color indexed="10"/>
        <rFont val="Noto Sans CJK SC"/>
      </rPr>
      <t xml:space="preserve">競合参考上代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税込</t>
    </r>
    <r>
      <rPr>
        <sz val="9"/>
        <color indexed="10"/>
        <rFont val="游ゴシック体 ミディアム"/>
      </rPr>
      <t>)</t>
    </r>
  </si>
  <si>
    <r>
      <rPr>
        <sz val="9"/>
        <color indexed="10"/>
        <rFont val="Noto Sans CJK SC"/>
      </rPr>
      <t xml:space="preserve">差
</t>
    </r>
    <r>
      <rPr>
        <sz val="9"/>
        <color indexed="10"/>
        <rFont val="游ゴシック体 ミディアム"/>
      </rPr>
      <t>ahm-</t>
    </r>
    <r>
      <rPr>
        <sz val="9"/>
        <color indexed="10"/>
        <rFont val="Noto Sans CJK SC"/>
      </rPr>
      <t>競合</t>
    </r>
  </si>
  <si>
    <t>衣料</t>
  </si>
  <si>
    <r>
      <rPr>
        <sz val="11"/>
        <color indexed="9"/>
        <rFont val="游ゴシック体 ミディアム"/>
      </rPr>
      <t xml:space="preserve">AHM-001 </t>
    </r>
    <r>
      <rPr>
        <sz val="11"/>
        <color indexed="9"/>
        <rFont val="Noto Sans CJK SC"/>
      </rPr>
      <t>カシュクールジャケット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</si>
  <si>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レーナ ジャケット</t>
    </r>
  </si>
  <si>
    <r>
      <rPr>
        <sz val="11"/>
        <color indexed="9"/>
        <rFont val="游ゴシック体 ミディアム"/>
      </rPr>
      <t xml:space="preserve">AHM-002 </t>
    </r>
    <r>
      <rPr>
        <sz val="11"/>
        <color indexed="9"/>
        <rFont val="Noto Sans CJK SC"/>
      </rPr>
      <t>サイドボタンベスト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</si>
  <si>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カリナ ベスト</t>
    </r>
  </si>
  <si>
    <r>
      <rPr>
        <sz val="11"/>
        <color indexed="9"/>
        <rFont val="游ゴシック体 ミディアム"/>
      </rPr>
      <t xml:space="preserve">AHM-003 </t>
    </r>
    <r>
      <rPr>
        <sz val="11"/>
        <color indexed="9"/>
        <rFont val="Noto Sans CJK SC"/>
      </rPr>
      <t>フードブルゾン</t>
    </r>
  </si>
  <si>
    <r>
      <rPr>
        <sz val="9"/>
        <color indexed="9"/>
        <rFont val="游ゴシック体 ミディアム"/>
      </rPr>
      <t>fog(</t>
    </r>
    <r>
      <rPr>
        <sz val="9"/>
        <color indexed="9"/>
        <rFont val="Noto Sans CJK SC"/>
      </rPr>
      <t>該当薄</t>
    </r>
    <r>
      <rPr>
        <sz val="9"/>
        <color indexed="9"/>
        <rFont val="游ゴシック体 ミディアム"/>
      </rPr>
      <t>)</t>
    </r>
  </si>
  <si>
    <t>—</t>
  </si>
  <si>
    <r>
      <rPr>
        <sz val="11"/>
        <color indexed="9"/>
        <rFont val="游ゴシック体 ミディアム"/>
      </rPr>
      <t xml:space="preserve">AHM-004 </t>
    </r>
    <r>
      <rPr>
        <sz val="11"/>
        <color indexed="9"/>
        <rFont val="Noto Sans CJK SC"/>
      </rPr>
      <t>テーパードパンツ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</si>
  <si>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ロビン パンツ</t>
    </r>
  </si>
  <si>
    <r>
      <rPr>
        <sz val="11"/>
        <color indexed="9"/>
        <rFont val="游ゴシック体 ミディアム"/>
      </rPr>
      <t xml:space="preserve">AHM-005 </t>
    </r>
    <r>
      <rPr>
        <sz val="11"/>
        <color indexed="9"/>
        <rFont val="Noto Sans CJK SC"/>
      </rPr>
      <t>ハーフパンツ</t>
    </r>
  </si>
  <si>
    <r>
      <rPr>
        <sz val="11"/>
        <color indexed="9"/>
        <rFont val="游ゴシック体 ミディアム"/>
      </rPr>
      <t xml:space="preserve">AHM-006 </t>
    </r>
    <r>
      <rPr>
        <sz val="11"/>
        <color indexed="9"/>
        <rFont val="Noto Sans CJK SC"/>
      </rPr>
      <t>カーブフロントベスト</t>
    </r>
  </si>
  <si>
    <r>
      <rPr>
        <sz val="11"/>
        <color indexed="9"/>
        <rFont val="游ゴシック体 ミディアム"/>
      </rPr>
      <t xml:space="preserve">AHM-007 </t>
    </r>
    <r>
      <rPr>
        <sz val="11"/>
        <color indexed="9"/>
        <rFont val="Noto Sans CJK SC"/>
      </rPr>
      <t>被りドレス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</si>
  <si>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ウタ ワンピース</t>
    </r>
  </si>
  <si>
    <r>
      <rPr>
        <sz val="11"/>
        <color indexed="9"/>
        <rFont val="游ゴシック体 ミディアム"/>
      </rPr>
      <t>AHM-008 V</t>
    </r>
    <r>
      <rPr>
        <sz val="11"/>
        <color indexed="9"/>
        <rFont val="Noto Sans CJK SC"/>
      </rPr>
      <t>ネックチュニック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</si>
  <si>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トップス</t>
    </r>
  </si>
  <si>
    <r>
      <rPr>
        <sz val="11"/>
        <color indexed="9"/>
        <rFont val="游ゴシック体 ミディアム"/>
      </rPr>
      <t xml:space="preserve">AHM-009 </t>
    </r>
    <r>
      <rPr>
        <sz val="11"/>
        <color indexed="9"/>
        <rFont val="Noto Sans CJK SC"/>
      </rPr>
      <t>イージースカート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</si>
  <si>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イチカ スカート</t>
    </r>
  </si>
  <si>
    <r>
      <rPr>
        <sz val="11"/>
        <color indexed="9"/>
        <rFont val="游ゴシック体 ミディアム"/>
      </rPr>
      <t xml:space="preserve">AHM-010 </t>
    </r>
    <r>
      <rPr>
        <sz val="11"/>
        <color indexed="9"/>
        <rFont val="Noto Sans CJK SC"/>
      </rPr>
      <t>ロングコートワンピース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</si>
  <si>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ワークコート</t>
    </r>
  </si>
  <si>
    <t>スウェット</t>
  </si>
  <si>
    <r>
      <rPr>
        <sz val="11"/>
        <color indexed="9"/>
        <rFont val="Noto Sans CJK SC"/>
      </rPr>
      <t xml:space="preserve">スウェット </t>
    </r>
    <r>
      <rPr>
        <sz val="11"/>
        <color indexed="9"/>
        <rFont val="游ゴシック体 ミディアム"/>
      </rPr>
      <t xml:space="preserve">S/M/L </t>
    </r>
    <r>
      <rPr>
        <sz val="11"/>
        <color indexed="9"/>
        <rFont val="Noto Sans CJK SC"/>
      </rPr>
      <t>白</t>
    </r>
  </si>
  <si>
    <t>寝具</t>
  </si>
  <si>
    <r>
      <rPr>
        <sz val="11"/>
        <color indexed="9"/>
        <rFont val="Noto Sans CJK SC"/>
      </rPr>
      <t xml:space="preserve">布団カバー </t>
    </r>
    <r>
      <rPr>
        <sz val="11"/>
        <color indexed="9"/>
        <rFont val="游ゴシック体 ミディアム"/>
      </rPr>
      <t>150×210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</si>
  <si>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 xml:space="preserve">コンフォーター </t>
    </r>
    <r>
      <rPr>
        <sz val="9"/>
        <color indexed="9"/>
        <rFont val="游ゴシック体 ミディアム"/>
      </rPr>
      <t>S</t>
    </r>
  </si>
  <si>
    <r>
      <rPr>
        <sz val="11"/>
        <color indexed="9"/>
        <rFont val="Noto Sans CJK SC"/>
      </rPr>
      <t xml:space="preserve">布団カバー </t>
    </r>
    <r>
      <rPr>
        <sz val="11"/>
        <color indexed="9"/>
        <rFont val="游ゴシック体 ミディアム"/>
      </rPr>
      <t>170×210</t>
    </r>
  </si>
  <si>
    <r>
      <rPr>
        <sz val="9"/>
        <color indexed="9"/>
        <rFont val="游ゴシック体 ミディアム"/>
      </rPr>
      <t>fog(SD</t>
    </r>
    <r>
      <rPr>
        <sz val="9"/>
        <color indexed="9"/>
        <rFont val="Noto Sans CJK SC"/>
      </rPr>
      <t>なし</t>
    </r>
    <r>
      <rPr>
        <sz val="9"/>
        <color indexed="9"/>
        <rFont val="游ゴシック体 ミディアム"/>
      </rPr>
      <t>)</t>
    </r>
  </si>
  <si>
    <r>
      <rPr>
        <sz val="11"/>
        <color indexed="9"/>
        <rFont val="Noto Sans CJK SC"/>
      </rPr>
      <t xml:space="preserve">布団カバー </t>
    </r>
    <r>
      <rPr>
        <sz val="11"/>
        <color indexed="9"/>
        <rFont val="游ゴシック体 ミディアム"/>
      </rPr>
      <t>190×210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</si>
  <si>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 xml:space="preserve">コンフォーター </t>
    </r>
    <r>
      <rPr>
        <sz val="9"/>
        <color indexed="9"/>
        <rFont val="游ゴシック体 ミディアム"/>
      </rPr>
      <t>D</t>
    </r>
  </si>
  <si>
    <r>
      <rPr>
        <sz val="11"/>
        <color indexed="9"/>
        <rFont val="Noto Sans CJK SC"/>
      </rPr>
      <t xml:space="preserve">ボックスシーツ </t>
    </r>
    <r>
      <rPr>
        <sz val="11"/>
        <color indexed="9"/>
        <rFont val="游ゴシック体 ミディアム"/>
      </rPr>
      <t>100×200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</si>
  <si>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 xml:space="preserve">ボックス </t>
    </r>
    <r>
      <rPr>
        <sz val="9"/>
        <color indexed="9"/>
        <rFont val="游ゴシック体 ミディアム"/>
      </rPr>
      <t>S</t>
    </r>
  </si>
  <si>
    <r>
      <rPr>
        <sz val="11"/>
        <color indexed="9"/>
        <rFont val="Noto Sans CJK SC"/>
      </rPr>
      <t xml:space="preserve">ボックスシーツ </t>
    </r>
    <r>
      <rPr>
        <sz val="11"/>
        <color indexed="9"/>
        <rFont val="游ゴシック体 ミディアム"/>
      </rPr>
      <t>120×200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</si>
  <si>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 xml:space="preserve">ボックス </t>
    </r>
    <r>
      <rPr>
        <sz val="9"/>
        <color indexed="9"/>
        <rFont val="游ゴシック体 ミディアム"/>
      </rPr>
      <t>SD</t>
    </r>
  </si>
  <si>
    <r>
      <rPr>
        <sz val="11"/>
        <color indexed="9"/>
        <rFont val="Noto Sans CJK SC"/>
      </rPr>
      <t xml:space="preserve">ボックスシーツ </t>
    </r>
    <r>
      <rPr>
        <sz val="11"/>
        <color indexed="9"/>
        <rFont val="游ゴシック体 ミディアム"/>
      </rPr>
      <t>140×200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</si>
  <si>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 xml:space="preserve">ボックス </t>
    </r>
    <r>
      <rPr>
        <sz val="9"/>
        <color indexed="9"/>
        <rFont val="游ゴシック体 ミディアム"/>
      </rPr>
      <t>D</t>
    </r>
  </si>
  <si>
    <r>
      <rPr>
        <sz val="11"/>
        <color indexed="9"/>
        <rFont val="Noto Sans CJK SC"/>
      </rPr>
      <t xml:space="preserve">枕カバー </t>
    </r>
    <r>
      <rPr>
        <sz val="11"/>
        <color indexed="9"/>
        <rFont val="游ゴシック体 ミディアム"/>
      </rPr>
      <t>48×68</t>
    </r>
  </si>
  <si>
    <r>
      <rPr>
        <sz val="9"/>
        <color indexed="9"/>
        <rFont val="游ゴシック体 ミディアム"/>
      </rPr>
      <t xml:space="preserve">fog </t>
    </r>
    <r>
      <rPr>
        <sz val="9"/>
        <color indexed="9"/>
        <rFont val="Noto Sans CJK SC"/>
      </rPr>
      <t>ピローケース</t>
    </r>
  </si>
  <si>
    <t>下着</t>
  </si>
  <si>
    <r>
      <rPr>
        <sz val="11"/>
        <color indexed="9"/>
        <rFont val="游ゴシック体 ミディアム"/>
      </rPr>
      <t xml:space="preserve">No.1 </t>
    </r>
    <r>
      <rPr>
        <sz val="11"/>
        <color indexed="9"/>
        <rFont val="Noto Sans CJK SC"/>
      </rPr>
      <t>ベスト</t>
    </r>
  </si>
  <si>
    <t>更麻 タンクトップ</t>
  </si>
  <si>
    <r>
      <rPr>
        <sz val="11"/>
        <color indexed="9"/>
        <rFont val="游ゴシック体 ミディアム"/>
      </rPr>
      <t xml:space="preserve">No.2 </t>
    </r>
    <r>
      <rPr>
        <sz val="11"/>
        <color indexed="9"/>
        <rFont val="Noto Sans CJK SC"/>
      </rPr>
      <t>ベスト</t>
    </r>
  </si>
  <si>
    <r>
      <rPr>
        <sz val="11"/>
        <color indexed="9"/>
        <rFont val="游ゴシック体 ミディアム"/>
      </rPr>
      <t xml:space="preserve">No.3 </t>
    </r>
    <r>
      <rPr>
        <sz val="11"/>
        <color indexed="9"/>
        <rFont val="Noto Sans CJK SC"/>
      </rPr>
      <t>ベスト</t>
    </r>
  </si>
  <si>
    <r>
      <rPr>
        <sz val="11"/>
        <color indexed="9"/>
        <rFont val="游ゴシック体 ミディアム"/>
      </rPr>
      <t xml:space="preserve">No.4 </t>
    </r>
    <r>
      <rPr>
        <sz val="11"/>
        <color indexed="9"/>
        <rFont val="Noto Sans CJK SC"/>
      </rPr>
      <t>ベスト</t>
    </r>
  </si>
  <si>
    <r>
      <rPr>
        <sz val="11"/>
        <color indexed="9"/>
        <rFont val="游ゴシック体 ミディアム"/>
      </rPr>
      <t xml:space="preserve">No.5 </t>
    </r>
    <r>
      <rPr>
        <sz val="11"/>
        <color indexed="9"/>
        <rFont val="Noto Sans CJK SC"/>
      </rPr>
      <t>ブラ</t>
    </r>
  </si>
  <si>
    <r>
      <rPr>
        <sz val="9"/>
        <color indexed="9"/>
        <rFont val="Noto Sans CJK SC"/>
      </rPr>
      <t>更麻 カップ付キャミ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近似</t>
    </r>
    <r>
      <rPr>
        <sz val="9"/>
        <color indexed="9"/>
        <rFont val="游ゴシック体 ミディアム"/>
      </rPr>
      <t>)</t>
    </r>
  </si>
  <si>
    <r>
      <rPr>
        <sz val="11"/>
        <color indexed="9"/>
        <rFont val="游ゴシック体 ミディアム"/>
      </rPr>
      <t xml:space="preserve">No.6 </t>
    </r>
    <r>
      <rPr>
        <sz val="11"/>
        <color indexed="9"/>
        <rFont val="Noto Sans CJK SC"/>
      </rPr>
      <t>ブラ</t>
    </r>
  </si>
  <si>
    <r>
      <rPr>
        <sz val="11"/>
        <color indexed="9"/>
        <rFont val="游ゴシック体 ミディアム"/>
      </rPr>
      <t xml:space="preserve">No.7 </t>
    </r>
    <r>
      <rPr>
        <sz val="11"/>
        <color indexed="9"/>
        <rFont val="Noto Sans CJK SC"/>
      </rPr>
      <t>アンダーウェア</t>
    </r>
  </si>
  <si>
    <t>更麻 ショーツ</t>
  </si>
  <si>
    <r>
      <rPr>
        <sz val="11"/>
        <color indexed="9"/>
        <rFont val="游ゴシック体 ミディアム"/>
      </rPr>
      <t xml:space="preserve">No.8 </t>
    </r>
    <r>
      <rPr>
        <sz val="11"/>
        <color indexed="9"/>
        <rFont val="Noto Sans CJK SC"/>
      </rPr>
      <t>アンダーウェア</t>
    </r>
  </si>
  <si>
    <r>
      <rPr>
        <sz val="11"/>
        <color indexed="9"/>
        <rFont val="游ゴシック体 ミディアム"/>
      </rPr>
      <t xml:space="preserve">No.9 </t>
    </r>
    <r>
      <rPr>
        <sz val="11"/>
        <color indexed="9"/>
        <rFont val="Noto Sans CJK SC"/>
      </rPr>
      <t>アンダーウェア</t>
    </r>
  </si>
  <si>
    <r>
      <rPr>
        <sz val="11"/>
        <color indexed="9"/>
        <rFont val="游ゴシック体 ミディアム"/>
      </rPr>
      <t xml:space="preserve">No.10 </t>
    </r>
    <r>
      <rPr>
        <sz val="11"/>
        <color indexed="9"/>
        <rFont val="Noto Sans CJK SC"/>
      </rPr>
      <t>ジョガー</t>
    </r>
  </si>
  <si>
    <r>
      <rPr>
        <sz val="9"/>
        <color indexed="9"/>
        <rFont val="Noto Sans CJK SC"/>
      </rPr>
      <t>更麻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該当なし</t>
    </r>
    <r>
      <rPr>
        <sz val="9"/>
        <color indexed="9"/>
        <rFont val="游ゴシック体 ミディアム"/>
      </rPr>
      <t>)</t>
    </r>
  </si>
  <si>
    <r>
      <rPr>
        <sz val="11"/>
        <color indexed="9"/>
        <rFont val="游ゴシック体 ミディアム"/>
      </rPr>
      <t xml:space="preserve">No.11 </t>
    </r>
    <r>
      <rPr>
        <sz val="11"/>
        <color indexed="9"/>
        <rFont val="Noto Sans CJK SC"/>
      </rPr>
      <t>ワークパンツ</t>
    </r>
  </si>
  <si>
    <t>ｴﾌﾟﾛﾝ･ﾀｵﾙ</t>
  </si>
  <si>
    <r>
      <rPr>
        <sz val="11"/>
        <color indexed="9"/>
        <rFont val="Noto Sans CJK SC"/>
      </rPr>
      <t xml:space="preserve">ハンドタオル </t>
    </r>
    <r>
      <rPr>
        <sz val="11"/>
        <color indexed="9"/>
        <rFont val="游ゴシック体 ミディアム"/>
      </rPr>
      <t>30×30</t>
    </r>
  </si>
  <si>
    <r>
      <rPr>
        <sz val="9"/>
        <color indexed="9"/>
        <rFont val="游ゴシック体 ミディアム"/>
      </rPr>
      <t xml:space="preserve">Homeland </t>
    </r>
    <r>
      <rPr>
        <sz val="9"/>
        <color indexed="9"/>
        <rFont val="Noto Sans CJK SC"/>
      </rPr>
      <t>ヘンプｷｯﾁﾝｸﾛｽ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近似</t>
    </r>
    <r>
      <rPr>
        <sz val="9"/>
        <color indexed="9"/>
        <rFont val="游ゴシック体 ミディアム"/>
      </rPr>
      <t>)</t>
    </r>
  </si>
  <si>
    <r>
      <rPr>
        <sz val="11"/>
        <color indexed="9"/>
        <rFont val="Noto Sans CJK SC"/>
      </rPr>
      <t xml:space="preserve">フェイスタオル </t>
    </r>
    <r>
      <rPr>
        <sz val="11"/>
        <color indexed="9"/>
        <rFont val="游ゴシック体 ミディアム"/>
      </rPr>
      <t>33×80</t>
    </r>
  </si>
  <si>
    <r>
      <rPr>
        <sz val="11"/>
        <color indexed="9"/>
        <rFont val="Noto Sans CJK SC"/>
      </rPr>
      <t xml:space="preserve">バスタオル </t>
    </r>
    <r>
      <rPr>
        <sz val="11"/>
        <color indexed="9"/>
        <rFont val="游ゴシック体 ミディアム"/>
      </rPr>
      <t>65×125</t>
    </r>
  </si>
  <si>
    <r>
      <rPr>
        <sz val="11"/>
        <color indexed="9"/>
        <rFont val="Noto Sans CJK SC"/>
      </rPr>
      <t xml:space="preserve">ショール </t>
    </r>
    <r>
      <rPr>
        <sz val="11"/>
        <color indexed="9"/>
        <rFont val="游ゴシック体 ミディアム"/>
      </rPr>
      <t>65×180</t>
    </r>
  </si>
  <si>
    <r>
      <rPr>
        <sz val="11"/>
        <color indexed="9"/>
        <rFont val="Noto Sans CJK SC"/>
      </rPr>
      <t xml:space="preserve">シーツ </t>
    </r>
    <r>
      <rPr>
        <sz val="11"/>
        <color indexed="9"/>
        <rFont val="游ゴシック体 ミディアム"/>
      </rPr>
      <t>136×210</t>
    </r>
  </si>
  <si>
    <r>
      <rPr>
        <sz val="11"/>
        <color indexed="9"/>
        <rFont val="Noto Sans CJK SC"/>
      </rPr>
      <t>エプロン</t>
    </r>
    <r>
      <rPr>
        <sz val="11"/>
        <color indexed="9"/>
        <rFont val="游ゴシック体 ミディアム"/>
      </rPr>
      <t>(Shanxi</t>
    </r>
    <r>
      <rPr>
        <sz val="11"/>
        <color indexed="9"/>
        <rFont val="Noto Sans CJK SC"/>
      </rPr>
      <t>･要確認</t>
    </r>
    <r>
      <rPr>
        <sz val="11"/>
        <color indexed="9"/>
        <rFont val="游ゴシック体 ミディアム"/>
      </rPr>
      <t>)</t>
    </r>
  </si>
  <si>
    <r>
      <rPr>
        <sz val="9"/>
        <color indexed="9"/>
        <rFont val="游ゴシック体 ミディアム"/>
      </rPr>
      <t xml:space="preserve">ASPLUND(TC)/Homeland </t>
    </r>
    <r>
      <rPr>
        <sz val="9"/>
        <color indexed="9"/>
        <rFont val="Noto Sans CJK SC"/>
      </rPr>
      <t>ヘンプ</t>
    </r>
  </si>
  <si>
    <r>
      <rPr>
        <sz val="11"/>
        <color indexed="9"/>
        <rFont val="Noto Sans CJK SC"/>
      </rPr>
      <t>エプロン</t>
    </r>
    <r>
      <rPr>
        <sz val="11"/>
        <color indexed="9"/>
        <rFont val="游ゴシック体 ミディアム"/>
      </rPr>
      <t>(135</t>
    </r>
    <r>
      <rPr>
        <sz val="11"/>
        <color indexed="9"/>
        <rFont val="Noto Sans CJK SC"/>
      </rPr>
      <t>元･別見積</t>
    </r>
    <r>
      <rPr>
        <sz val="11"/>
        <color indexed="9"/>
        <rFont val="游ゴシック体 ミディアム"/>
      </rPr>
      <t>)</t>
    </r>
  </si>
  <si>
    <t>【粗利率の考え方】</t>
  </si>
  <si>
    <r>
      <rPr>
        <sz val="9"/>
        <color indexed="9"/>
        <rFont val="Noto Sans CJK SC"/>
      </rPr>
      <t>・卸掛率</t>
    </r>
    <r>
      <rPr>
        <sz val="9"/>
        <color indexed="9"/>
        <rFont val="游ゴシック体 ミディアム"/>
      </rPr>
      <t>A55%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>B60%</t>
    </r>
    <r>
      <rPr>
        <sz val="9"/>
        <color indexed="9"/>
        <rFont val="Noto Sans CJK SC"/>
      </rPr>
      <t>は上代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税抜</t>
    </r>
    <r>
      <rPr>
        <sz val="9"/>
        <color indexed="9"/>
        <rFont val="游ゴシック体 ミディアム"/>
      </rPr>
      <t>)</t>
    </r>
    <r>
      <rPr>
        <sz val="9"/>
        <color indexed="9"/>
        <rFont val="Noto Sans CJK SC"/>
      </rPr>
      <t>に対する掛率。卸価格＝上代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税抜</t>
    </r>
    <r>
      <rPr>
        <sz val="9"/>
        <color indexed="9"/>
        <rFont val="游ゴシック体 ミディアム"/>
      </rPr>
      <t>)×</t>
    </r>
    <r>
      <rPr>
        <sz val="9"/>
        <color indexed="9"/>
        <rFont val="Noto Sans CJK SC"/>
      </rPr>
      <t>掛率。</t>
    </r>
  </si>
  <si>
    <r>
      <rPr>
        <sz val="9"/>
        <color indexed="9"/>
        <rFont val="Noto Sans CJK SC"/>
      </rPr>
      <t>・</t>
    </r>
    <r>
      <rPr>
        <sz val="9"/>
        <color indexed="9"/>
        <rFont val="游ゴシック体 ミディアム"/>
      </rPr>
      <t>ahum</t>
    </r>
    <r>
      <rPr>
        <sz val="9"/>
        <color indexed="9"/>
        <rFont val="Noto Sans CJK SC"/>
      </rPr>
      <t>粗利率＝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卸価格−総原価</t>
    </r>
    <r>
      <rPr>
        <sz val="9"/>
        <color indexed="9"/>
        <rFont val="游ゴシック体 ミディアム"/>
      </rPr>
      <t>)÷</t>
    </r>
    <r>
      <rPr>
        <sz val="9"/>
        <color indexed="9"/>
        <rFont val="Noto Sans CJK SC"/>
      </rPr>
      <t>卸価格。</t>
    </r>
  </si>
  <si>
    <r>
      <rPr>
        <sz val="9"/>
        <color indexed="9"/>
        <rFont val="Noto Sans CJK SC"/>
      </rPr>
      <t>　原価率</t>
    </r>
    <r>
      <rPr>
        <sz val="9"/>
        <color indexed="9"/>
        <rFont val="游ゴシック体 ミディアム"/>
      </rPr>
      <t>35%(</t>
    </r>
    <r>
      <rPr>
        <sz val="9"/>
        <color indexed="9"/>
        <rFont val="Noto Sans CJK SC"/>
      </rPr>
      <t>衣料・スウェット</t>
    </r>
    <r>
      <rPr>
        <sz val="9"/>
        <color indexed="9"/>
        <rFont val="游ゴシック体 ミディアム"/>
      </rPr>
      <t>)→</t>
    </r>
    <r>
      <rPr>
        <sz val="9"/>
        <color indexed="9"/>
        <rFont val="Noto Sans CJK SC"/>
      </rPr>
      <t>卸</t>
    </r>
    <r>
      <rPr>
        <sz val="9"/>
        <color indexed="9"/>
        <rFont val="游ゴシック体 ミディアム"/>
      </rPr>
      <t>55%</t>
    </r>
    <r>
      <rPr>
        <sz val="9"/>
        <color indexed="9"/>
        <rFont val="Noto Sans CJK SC"/>
      </rPr>
      <t>で</t>
    </r>
    <r>
      <rPr>
        <sz val="9"/>
        <color indexed="9"/>
        <rFont val="游ゴシック体 ミディアム"/>
      </rPr>
      <t>36.4%</t>
    </r>
    <r>
      <rPr>
        <sz val="9"/>
        <color indexed="9"/>
        <rFont val="Noto Sans CJK SC"/>
      </rPr>
      <t>／卸</t>
    </r>
    <r>
      <rPr>
        <sz val="9"/>
        <color indexed="9"/>
        <rFont val="游ゴシック体 ミディアム"/>
      </rPr>
      <t>60%</t>
    </r>
    <r>
      <rPr>
        <sz val="9"/>
        <color indexed="9"/>
        <rFont val="Noto Sans CJK SC"/>
      </rPr>
      <t>で</t>
    </r>
    <r>
      <rPr>
        <sz val="9"/>
        <color indexed="9"/>
        <rFont val="游ゴシック体 ミディアム"/>
      </rPr>
      <t>41.7%</t>
    </r>
    <r>
      <rPr>
        <sz val="9"/>
        <color indexed="9"/>
        <rFont val="Noto Sans CJK SC"/>
      </rPr>
      <t>。原価率</t>
    </r>
    <r>
      <rPr>
        <sz val="9"/>
        <color indexed="9"/>
        <rFont val="游ゴシック体 ミディアム"/>
      </rPr>
      <t>40%(</t>
    </r>
    <r>
      <rPr>
        <sz val="9"/>
        <color indexed="9"/>
        <rFont val="Noto Sans CJK SC"/>
      </rPr>
      <t>寝具・下着</t>
    </r>
    <r>
      <rPr>
        <sz val="9"/>
        <color indexed="9"/>
        <rFont val="游ゴシック体 ミディアム"/>
      </rPr>
      <t>)→</t>
    </r>
    <r>
      <rPr>
        <sz val="9"/>
        <color indexed="9"/>
        <rFont val="Noto Sans CJK SC"/>
      </rPr>
      <t>卸</t>
    </r>
    <r>
      <rPr>
        <sz val="9"/>
        <color indexed="9"/>
        <rFont val="游ゴシック体 ミディアム"/>
      </rPr>
      <t>55%</t>
    </r>
    <r>
      <rPr>
        <sz val="9"/>
        <color indexed="9"/>
        <rFont val="Noto Sans CJK SC"/>
      </rPr>
      <t>で</t>
    </r>
    <r>
      <rPr>
        <sz val="9"/>
        <color indexed="9"/>
        <rFont val="游ゴシック体 ミディアム"/>
      </rPr>
      <t>27.3%</t>
    </r>
    <r>
      <rPr>
        <sz val="9"/>
        <color indexed="9"/>
        <rFont val="Noto Sans CJK SC"/>
      </rPr>
      <t>／卸</t>
    </r>
    <r>
      <rPr>
        <sz val="9"/>
        <color indexed="9"/>
        <rFont val="游ゴシック体 ミディアム"/>
      </rPr>
      <t>60%</t>
    </r>
    <r>
      <rPr>
        <sz val="9"/>
        <color indexed="9"/>
        <rFont val="Noto Sans CJK SC"/>
      </rPr>
      <t>で</t>
    </r>
    <r>
      <rPr>
        <sz val="9"/>
        <color indexed="9"/>
        <rFont val="游ゴシック体 ミディアム"/>
      </rPr>
      <t>33.3%</t>
    </r>
    <r>
      <rPr>
        <sz val="9"/>
        <color indexed="9"/>
        <rFont val="Noto Sans CJK SC"/>
      </rPr>
      <t>。</t>
    </r>
  </si>
  <si>
    <r>
      <rPr>
        <sz val="9"/>
        <color indexed="9"/>
        <rFont val="Noto Sans CJK SC"/>
      </rPr>
      <t>・小売店側の粗利率＝</t>
    </r>
    <r>
      <rPr>
        <sz val="9"/>
        <color indexed="9"/>
        <rFont val="游ゴシック体 ミディアム"/>
      </rPr>
      <t>100−</t>
    </r>
    <r>
      <rPr>
        <sz val="9"/>
        <color indexed="9"/>
        <rFont val="Noto Sans CJK SC"/>
      </rPr>
      <t>掛率（</t>
    </r>
    <r>
      <rPr>
        <sz val="9"/>
        <color indexed="9"/>
        <rFont val="游ゴシック体 ミディアム"/>
      </rPr>
      <t>55%</t>
    </r>
    <r>
      <rPr>
        <sz val="9"/>
        <color indexed="9"/>
        <rFont val="Noto Sans CJK SC"/>
      </rPr>
      <t>卸→小売</t>
    </r>
    <r>
      <rPr>
        <sz val="9"/>
        <color indexed="9"/>
        <rFont val="游ゴシック体 ミディアム"/>
      </rPr>
      <t>45%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>60%</t>
    </r>
    <r>
      <rPr>
        <sz val="9"/>
        <color indexed="9"/>
        <rFont val="Noto Sans CJK SC"/>
      </rPr>
      <t>卸→小売</t>
    </r>
    <r>
      <rPr>
        <sz val="9"/>
        <color indexed="9"/>
        <rFont val="游ゴシック体 ミディアム"/>
      </rPr>
      <t>40%</t>
    </r>
    <r>
      <rPr>
        <sz val="9"/>
        <color indexed="9"/>
        <rFont val="Noto Sans CJK SC"/>
      </rPr>
      <t>）。</t>
    </r>
  </si>
  <si>
    <t>・国内経費（倉庫・販促・人件費等）は別途。純利益はこの粗利より下がる。</t>
  </si>
  <si>
    <t>・黄色（経費率・卸掛率）を変えると全体が自動再計算。工場出し・関税率・原価率は各行で調整可。</t>
  </si>
  <si>
    <r>
      <rPr>
        <sz val="9"/>
        <color indexed="9"/>
        <rFont val="Noto Sans CJK SC"/>
      </rPr>
      <t>・競合参考上代（税込）：衣料・寝具＝</t>
    </r>
    <r>
      <rPr>
        <sz val="9"/>
        <color indexed="9"/>
        <rFont val="游ゴシック体 ミディアム"/>
      </rPr>
      <t>fog linen work</t>
    </r>
    <r>
      <rPr>
        <sz val="9"/>
        <color indexed="9"/>
        <rFont val="Noto Sans CJK SC"/>
      </rPr>
      <t>、下着＝中川政七商店「更麻」、エプロン＝</t>
    </r>
    <r>
      <rPr>
        <sz val="9"/>
        <color indexed="9"/>
        <rFont val="游ゴシック体 ミディアム"/>
      </rPr>
      <t>ASPLUND(TIMELESS COMFORT)</t>
    </r>
    <r>
      <rPr>
        <sz val="9"/>
        <color indexed="9"/>
        <rFont val="Noto Sans CJK SC"/>
      </rPr>
      <t>取扱</t>
    </r>
    <r>
      <rPr>
        <sz val="9"/>
        <color indexed="9"/>
        <rFont val="游ゴシック体 ミディアム"/>
      </rPr>
      <t>Homeland</t>
    </r>
    <r>
      <rPr>
        <sz val="9"/>
        <color indexed="9"/>
        <rFont val="Noto Sans CJK SC"/>
      </rPr>
      <t>ヘンプエプロンの公式定価。差＝</t>
    </r>
    <r>
      <rPr>
        <sz val="9"/>
        <color indexed="9"/>
        <rFont val="游ゴシック体 ミディアム"/>
      </rPr>
      <t>ahum</t>
    </r>
    <r>
      <rPr>
        <sz val="9"/>
        <color indexed="9"/>
        <rFont val="Noto Sans CJK SC"/>
      </rPr>
      <t>想定上代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税込</t>
    </r>
    <r>
      <rPr>
        <sz val="9"/>
        <color indexed="9"/>
        <rFont val="游ゴシック体 ミディアム"/>
      </rPr>
      <t>)−</t>
    </r>
    <r>
      <rPr>
        <sz val="9"/>
        <color indexed="9"/>
        <rFont val="Noto Sans CJK SC"/>
      </rPr>
      <t>競合。</t>
    </r>
  </si>
  <si>
    <r>
      <rPr>
        <sz val="9"/>
        <color indexed="9"/>
        <rFont val="Noto Sans CJK SC"/>
      </rPr>
      <t>・「該当薄</t>
    </r>
    <r>
      <rPr>
        <sz val="9"/>
        <color indexed="9"/>
        <rFont val="游ゴシック体 ミディアム"/>
      </rPr>
      <t>/</t>
    </r>
    <r>
      <rPr>
        <sz val="9"/>
        <color indexed="9"/>
        <rFont val="Noto Sans CJK SC"/>
      </rPr>
      <t>なし」は競合に同型が無い品目（ベスト・ショーツ・ジョガー等）。ブラは更麻カップ付キャミを近似参照。</t>
    </r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</si>
  <si>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原価・上代マスター（衣料</t>
    </r>
    <r>
      <rPr>
        <sz val="15"/>
        <color indexed="9"/>
        <rFont val="游ゴシック体 ミディアム"/>
      </rPr>
      <t>10</t>
    </r>
    <r>
      <rPr>
        <sz val="15"/>
        <color indexed="9"/>
        <rFont val="Noto Sans CJK SC"/>
      </rPr>
      <t>型・色別・関税込）</t>
    </r>
  </si>
  <si>
    <t>前提条件</t>
  </si>
  <si>
    <r>
      <rPr>
        <sz val="11"/>
        <color indexed="9"/>
        <rFont val="游ゴシック体 ミディアム"/>
      </rPr>
      <t>1</t>
    </r>
    <r>
      <rPr>
        <sz val="11"/>
        <color indexed="9"/>
        <rFont val="Noto Sans CJK SC"/>
      </rPr>
      <t xml:space="preserve">元 </t>
    </r>
    <r>
      <rPr>
        <sz val="11"/>
        <color indexed="9"/>
        <rFont val="游ゴシック体 ミディアム"/>
      </rPr>
      <t>(CNY) =</t>
    </r>
  </si>
  <si>
    <t>円</t>
  </si>
  <si>
    <r>
      <rPr>
        <sz val="11"/>
        <color indexed="9"/>
        <rFont val="游ゴシック体 ミディアム"/>
      </rPr>
      <t>1</t>
    </r>
    <r>
      <rPr>
        <sz val="11"/>
        <color indexed="9"/>
        <rFont val="Noto Sans CJK SC"/>
      </rPr>
      <t xml:space="preserve">ドル </t>
    </r>
    <r>
      <rPr>
        <sz val="11"/>
        <color indexed="9"/>
        <rFont val="游ゴシック体 ミディアム"/>
      </rPr>
      <t>(USD) =</t>
    </r>
  </si>
  <si>
    <t>経費率（運送等）</t>
  </si>
  <si>
    <t>原価率（目標）</t>
  </si>
  <si>
    <r>
      <rPr>
        <sz val="11"/>
        <color indexed="9"/>
        <rFont val="Noto Sans CJK SC"/>
      </rPr>
      <t>関税率</t>
    </r>
    <r>
      <rPr>
        <sz val="11"/>
        <color indexed="9"/>
        <rFont val="游ゴシック体 ミディアム"/>
      </rPr>
      <t>(</t>
    </r>
    <r>
      <rPr>
        <sz val="11"/>
        <color indexed="9"/>
        <rFont val="Noto Sans CJK SC"/>
      </rPr>
      <t>衣料</t>
    </r>
    <r>
      <rPr>
        <sz val="11"/>
        <color indexed="9"/>
        <rFont val="游ゴシック体 ミディアム"/>
      </rPr>
      <t>)</t>
    </r>
  </si>
  <si>
    <r>
      <rPr>
        <sz val="9"/>
        <color indexed="9"/>
        <rFont val="游ゴシック体 ミディアム"/>
      </rPr>
      <t>WTO9.1%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>RCEP7.4%</t>
    </r>
  </si>
  <si>
    <t>品番</t>
  </si>
  <si>
    <t>商品名</t>
  </si>
  <si>
    <t>色</t>
  </si>
  <si>
    <t>素材／目付</t>
  </si>
  <si>
    <t>通貨</t>
  </si>
  <si>
    <r>
      <rPr>
        <sz val="9"/>
        <color indexed="10"/>
        <rFont val="Noto Sans CJK SC"/>
      </rPr>
      <t xml:space="preserve">工場出し単価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原貨</t>
    </r>
    <r>
      <rPr>
        <sz val="9"/>
        <color indexed="10"/>
        <rFont val="游ゴシック体 ミディアム"/>
      </rPr>
      <t>)</t>
    </r>
  </si>
  <si>
    <r>
      <rPr>
        <sz val="9"/>
        <color indexed="10"/>
        <rFont val="Noto Sans CJK SC"/>
      </rPr>
      <t xml:space="preserve">レート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</si>
  <si>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工場出し
</t>
    </r>
    <r>
      <rPr>
        <sz val="9"/>
        <color indexed="10"/>
        <rFont val="Noto Sans CJK SC"/>
      </rPr>
      <t>単価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</si>
  <si>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経費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</si>
  <si>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関税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</si>
  <si>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発注書
</t>
    </r>
    <r>
      <rPr>
        <sz val="9"/>
        <color indexed="10"/>
        <rFont val="Noto Sans CJK SC"/>
      </rPr>
      <t>販売価格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</si>
  <si>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工場出し
</t>
    </r>
    <r>
      <rPr>
        <sz val="9"/>
        <color indexed="10"/>
        <rFont val="Noto Sans CJK SC"/>
      </rPr>
      <t>金額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</si>
  <si>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関税額
</t>
    </r>
    <r>
      <rPr>
        <sz val="9"/>
        <color indexed="10"/>
        <rFont val="游ゴシック体 ミディアム"/>
      </rPr>
      <t>(¥)</t>
    </r>
  </si>
  <si>
    <r>
      <rPr>
        <sz val="9"/>
        <color indexed="10"/>
        <rFont val="Noto Sans CJK SC"/>
      </rPr>
      <t xml:space="preserve">想定売上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税抜</t>
    </r>
    <r>
      <rPr>
        <sz val="9"/>
        <color indexed="10"/>
        <rFont val="游ゴシック体 ミディアム"/>
      </rPr>
      <t>)</t>
    </r>
  </si>
  <si>
    <t>AHM-001</t>
  </si>
  <si>
    <t>カシュクールジャケット</t>
  </si>
  <si>
    <r>
      <rPr>
        <sz val="9"/>
        <color indexed="10"/>
        <rFont val="游ゴシック体 ミディアム"/>
      </rPr>
      <t xml:space="preserve">#16 </t>
    </r>
    <r>
      <rPr>
        <sz val="9"/>
        <color indexed="10"/>
        <rFont val="Noto Sans CJK SC"/>
      </rPr>
      <t>キャメル</t>
    </r>
  </si>
  <si>
    <r>
      <rPr>
        <sz val="9"/>
        <color indexed="9"/>
        <rFont val="Noto Sans CJK SC"/>
      </rPr>
      <t>ヘンプ</t>
    </r>
    <r>
      <rPr>
        <sz val="9"/>
        <color indexed="9"/>
        <rFont val="游ゴシック体 ミディアム"/>
      </rPr>
      <t>100% 5641#/202g</t>
    </r>
  </si>
  <si>
    <t>USD</t>
  </si>
  <si>
    <r>
      <rPr>
        <sz val="9"/>
        <color indexed="10"/>
        <rFont val="游ゴシック体 ミディアム"/>
      </rPr>
      <t xml:space="preserve">#11 </t>
    </r>
    <r>
      <rPr>
        <sz val="9"/>
        <color indexed="10"/>
        <rFont val="Noto Sans CJK SC"/>
      </rPr>
      <t>ダークブラウン</t>
    </r>
  </si>
  <si>
    <t>AHM-002</t>
  </si>
  <si>
    <t>サイドボタンベスト</t>
  </si>
  <si>
    <r>
      <rPr>
        <sz val="9"/>
        <color indexed="9"/>
        <rFont val="游ゴシック体 ミディアム"/>
      </rPr>
      <t xml:space="preserve">#02 </t>
    </r>
    <r>
      <rPr>
        <sz val="9"/>
        <color indexed="9"/>
        <rFont val="Noto Sans CJK SC"/>
      </rPr>
      <t>ベージュ</t>
    </r>
  </si>
  <si>
    <r>
      <rPr>
        <sz val="9"/>
        <color indexed="9"/>
        <rFont val="Noto Sans CJK SC"/>
      </rPr>
      <t>ヘンプ</t>
    </r>
    <r>
      <rPr>
        <sz val="9"/>
        <color indexed="9"/>
        <rFont val="游ゴシック体 ミディアム"/>
      </rPr>
      <t>100% Z1612#/175g</t>
    </r>
  </si>
  <si>
    <r>
      <rPr>
        <sz val="9"/>
        <color indexed="10"/>
        <rFont val="游ゴシック体 ミディアム"/>
      </rPr>
      <t xml:space="preserve">#18 </t>
    </r>
    <r>
      <rPr>
        <sz val="9"/>
        <color indexed="10"/>
        <rFont val="Noto Sans CJK SC"/>
      </rPr>
      <t>モカブラウン</t>
    </r>
  </si>
  <si>
    <t>AHM-003</t>
  </si>
  <si>
    <t>フードブルゾン</t>
  </si>
  <si>
    <r>
      <rPr>
        <sz val="9"/>
        <color indexed="9"/>
        <rFont val="游ゴシック体 ミディアム"/>
      </rPr>
      <t xml:space="preserve">#01 </t>
    </r>
    <r>
      <rPr>
        <sz val="9"/>
        <color indexed="9"/>
        <rFont val="Noto Sans CJK SC"/>
      </rPr>
      <t>白</t>
    </r>
  </si>
  <si>
    <t>AHM-004</t>
  </si>
  <si>
    <r>
      <rPr>
        <sz val="11"/>
        <color indexed="9"/>
        <rFont val="Noto Sans CJK SC"/>
      </rPr>
      <t>テーパードパンツ</t>
    </r>
    <r>
      <rPr>
        <sz val="11"/>
        <color indexed="9"/>
        <rFont val="游ゴシック体 ミディアム"/>
      </rPr>
      <t>(</t>
    </r>
    <r>
      <rPr>
        <sz val="11"/>
        <color indexed="9"/>
        <rFont val="Noto Sans CJK SC"/>
      </rPr>
      <t>裏付き</t>
    </r>
    <r>
      <rPr>
        <sz val="11"/>
        <color indexed="9"/>
        <rFont val="游ゴシック体 ミディアム"/>
      </rPr>
      <t>)</t>
    </r>
  </si>
  <si>
    <t>AHM-005</t>
  </si>
  <si>
    <t>ハーフパンツ</t>
  </si>
  <si>
    <t>AHM-006</t>
  </si>
  <si>
    <t>カーブフロントベスト</t>
  </si>
  <si>
    <r>
      <rPr>
        <sz val="9"/>
        <color indexed="9"/>
        <rFont val="游ゴシック体 ミディアム"/>
      </rPr>
      <t xml:space="preserve">#03 </t>
    </r>
    <r>
      <rPr>
        <sz val="9"/>
        <color indexed="9"/>
        <rFont val="Noto Sans CJK SC"/>
      </rPr>
      <t>アイボリー</t>
    </r>
  </si>
  <si>
    <t>AHM-007</t>
  </si>
  <si>
    <t>被りドレス</t>
  </si>
  <si>
    <t>CNY</t>
  </si>
  <si>
    <t>AHM-008</t>
  </si>
  <si>
    <r>
      <rPr>
        <sz val="11"/>
        <color indexed="9"/>
        <rFont val="游ゴシック体 ミディアム"/>
      </rPr>
      <t>V</t>
    </r>
    <r>
      <rPr>
        <sz val="11"/>
        <color indexed="9"/>
        <rFont val="Noto Sans CJK SC"/>
      </rPr>
      <t>ネックチュニック</t>
    </r>
  </si>
  <si>
    <t>AHM-009</t>
  </si>
  <si>
    <t>イージースカート</t>
  </si>
  <si>
    <t>AHM-010</t>
  </si>
  <si>
    <t>ロングコートワンピース</t>
  </si>
  <si>
    <t>合計</t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</si>
  <si>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型図一覧（衣料</t>
    </r>
    <r>
      <rPr>
        <sz val="15"/>
        <color indexed="9"/>
        <rFont val="游ゴシック体 ミディアム"/>
      </rPr>
      <t>10</t>
    </r>
    <r>
      <rPr>
        <sz val="15"/>
        <color indexed="9"/>
        <rFont val="Noto Sans CJK SC"/>
      </rPr>
      <t>型）</t>
    </r>
  </si>
  <si>
    <t>型図</t>
  </si>
  <si>
    <t>カラー展開</t>
  </si>
  <si>
    <r>
      <rPr>
        <sz val="10"/>
        <color indexed="10"/>
        <rFont val="Noto Sans CJK SC"/>
      </rPr>
      <t>想定上代</t>
    </r>
    <r>
      <rPr>
        <sz val="10"/>
        <color indexed="10"/>
        <rFont val="游ゴシック体 ミディアム"/>
      </rPr>
      <t>(</t>
    </r>
    <r>
      <rPr>
        <sz val="10"/>
        <color indexed="10"/>
        <rFont val="Noto Sans CJK SC"/>
      </rPr>
      <t>税込</t>
    </r>
    <r>
      <rPr>
        <sz val="10"/>
        <color indexed="10"/>
        <rFont val="游ゴシック体 ミディアム"/>
      </rPr>
      <t>)</t>
    </r>
  </si>
  <si>
    <t>キャメル／ダークブラウン</t>
  </si>
  <si>
    <t>ベージュ／モカブラウン</t>
  </si>
  <si>
    <t>白／ダークブラウン</t>
  </si>
  <si>
    <t>白／キャメル／ダークブラウン</t>
  </si>
  <si>
    <t>ダークブラウン</t>
  </si>
  <si>
    <t>白／アイボリー</t>
  </si>
  <si>
    <t>白</t>
  </si>
  <si>
    <t>白／ベージュ／モカブラウン</t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</si>
  <si>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寝具シリーズ 原価・上代（</t>
    </r>
    <r>
      <rPr>
        <sz val="15"/>
        <color indexed="9"/>
        <rFont val="游ゴシック体 ミディアム"/>
      </rPr>
      <t>40%</t>
    </r>
    <r>
      <rPr>
        <sz val="15"/>
        <color indexed="9"/>
        <rFont val="Noto Sans CJK SC"/>
      </rPr>
      <t>）</t>
    </r>
  </si>
  <si>
    <r>
      <rPr>
        <sz val="10"/>
        <color indexed="12"/>
        <rFont val="游ゴシック体 ミディアム"/>
      </rPr>
      <t>100%</t>
    </r>
    <r>
      <rPr>
        <sz val="10"/>
        <color indexed="12"/>
        <rFont val="Noto Sans CJK SC"/>
      </rPr>
      <t xml:space="preserve">ヘンプ </t>
    </r>
    <r>
      <rPr>
        <sz val="10"/>
        <color indexed="12"/>
        <rFont val="游ゴシック体 ミディアム"/>
      </rPr>
      <t>165-170g</t>
    </r>
    <r>
      <rPr>
        <sz val="10"/>
        <color indexed="12"/>
        <rFont val="Noto Sans CJK SC"/>
      </rPr>
      <t>・ナチュラルカラー／</t>
    </r>
    <r>
      <rPr>
        <sz val="10"/>
        <color indexed="12"/>
        <rFont val="游ゴシック体 ミディアム"/>
      </rPr>
      <t>EXW</t>
    </r>
    <r>
      <rPr>
        <sz val="10"/>
        <color indexed="12"/>
        <rFont val="Noto Sans CJK SC"/>
      </rPr>
      <t>建て</t>
    </r>
  </si>
  <si>
    <r>
      <rPr>
        <sz val="9"/>
        <color indexed="9"/>
        <rFont val="游ゴシック体 ミディアム"/>
      </rPr>
      <t>WTO5.3%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>RCEP3.6%</t>
    </r>
  </si>
  <si>
    <t>品目</t>
  </si>
  <si>
    <t>サイズ</t>
  </si>
  <si>
    <r>
      <rPr>
        <sz val="9"/>
        <color indexed="10"/>
        <rFont val="游ゴシック体 ミディアム"/>
      </rPr>
      <t>EXW</t>
    </r>
    <r>
      <rPr>
        <sz val="9"/>
        <color indexed="10"/>
        <rFont val="Noto Sans CJK SC"/>
      </rPr>
      <t>単価</t>
    </r>
  </si>
  <si>
    <r>
      <rPr>
        <sz val="9"/>
        <color indexed="10"/>
        <rFont val="游ゴシック体 ミディアム"/>
      </rPr>
      <t>fog</t>
    </r>
    <r>
      <rPr>
        <sz val="9"/>
        <color indexed="10"/>
        <rFont val="Noto Sans CJK SC"/>
      </rPr>
      <t xml:space="preserve">定価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税込</t>
    </r>
    <r>
      <rPr>
        <sz val="9"/>
        <color indexed="10"/>
        <rFont val="游ゴシック体 ミディアム"/>
      </rPr>
      <t>)</t>
    </r>
  </si>
  <si>
    <r>
      <rPr>
        <sz val="9"/>
        <color indexed="10"/>
        <rFont val="Noto Sans CJK SC"/>
      </rPr>
      <t>差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税込</t>
    </r>
    <r>
      <rPr>
        <sz val="9"/>
        <color indexed="10"/>
        <rFont val="游ゴシック体 ミディアム"/>
      </rPr>
      <t xml:space="preserve">)
</t>
    </r>
    <r>
      <rPr>
        <sz val="9"/>
        <color indexed="10"/>
        <rFont val="游ゴシック体 ミディアム"/>
      </rPr>
      <t>ahm-fog</t>
    </r>
  </si>
  <si>
    <t>布団カバー</t>
  </si>
  <si>
    <t>150×210cm</t>
  </si>
  <si>
    <t>170×210cm</t>
  </si>
  <si>
    <t>190×210cm</t>
  </si>
  <si>
    <t>ボックスシーツ</t>
  </si>
  <si>
    <t>100×200+30cm</t>
  </si>
  <si>
    <t>120×200+30cm</t>
  </si>
  <si>
    <t>140×200+30cm</t>
  </si>
  <si>
    <t>枕カバー</t>
  </si>
  <si>
    <t>48×68+20cm</t>
  </si>
  <si>
    <t>【注意（寝具）】</t>
  </si>
  <si>
    <r>
      <rPr>
        <sz val="9"/>
        <color indexed="9"/>
        <rFont val="Noto Sans CJK SC"/>
      </rPr>
      <t>・関税は寝具</t>
    </r>
    <r>
      <rPr>
        <sz val="9"/>
        <color indexed="9"/>
        <rFont val="游ゴシック体 ミディアム"/>
      </rPr>
      <t>(HS6302.39</t>
    </r>
    <r>
      <rPr>
        <sz val="9"/>
        <color indexed="9"/>
        <rFont val="Noto Sans CJK SC"/>
      </rPr>
      <t>その他＝ヘンプ</t>
    </r>
    <r>
      <rPr>
        <sz val="9"/>
        <color indexed="9"/>
        <rFont val="游ゴシック体 ミディアム"/>
      </rPr>
      <t>)WTO5.3%/RCEP3.6%(C8</t>
    </r>
    <r>
      <rPr>
        <sz val="9"/>
        <color indexed="9"/>
        <rFont val="Noto Sans CJK SC"/>
      </rPr>
      <t>切替</t>
    </r>
    <r>
      <rPr>
        <sz val="9"/>
        <color indexed="9"/>
        <rFont val="游ゴシック体 ミディアム"/>
      </rPr>
      <t>)</t>
    </r>
    <r>
      <rPr>
        <sz val="9"/>
        <color indexed="9"/>
        <rFont val="Noto Sans CJK SC"/>
      </rPr>
      <t>。</t>
    </r>
  </si>
  <si>
    <r>
      <rPr>
        <sz val="9"/>
        <color indexed="9"/>
        <rFont val="Noto Sans CJK SC"/>
      </rPr>
      <t>・差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税込</t>
    </r>
    <r>
      <rPr>
        <sz val="9"/>
        <color indexed="9"/>
        <rFont val="游ゴシック体 ミディアム"/>
      </rPr>
      <t>)=ahum</t>
    </r>
    <r>
      <rPr>
        <sz val="9"/>
        <color indexed="9"/>
        <rFont val="Noto Sans CJK SC"/>
      </rPr>
      <t>上代</t>
    </r>
    <r>
      <rPr>
        <sz val="9"/>
        <color indexed="9"/>
        <rFont val="游ゴシック体 ミディアム"/>
      </rPr>
      <t>-fog</t>
    </r>
    <r>
      <rPr>
        <sz val="9"/>
        <color indexed="9"/>
        <rFont val="Noto Sans CJK SC"/>
      </rPr>
      <t>定価。</t>
    </r>
    <r>
      <rPr>
        <sz val="9"/>
        <color indexed="9"/>
        <rFont val="游ゴシック体 ミディアム"/>
      </rPr>
      <t>40%</t>
    </r>
    <r>
      <rPr>
        <sz val="9"/>
        <color indexed="9"/>
        <rFont val="Noto Sans CJK SC"/>
      </rPr>
      <t>化で布団カバーも</t>
    </r>
    <r>
      <rPr>
        <sz val="9"/>
        <color indexed="9"/>
        <rFont val="游ゴシック体 ミディアム"/>
      </rPr>
      <t>fog</t>
    </r>
    <r>
      <rPr>
        <sz val="9"/>
        <color indexed="9"/>
        <rFont val="Noto Sans CJK SC"/>
      </rPr>
      <t>とほぼ同水準に、ボックスシーツは同等以下。</t>
    </r>
  </si>
  <si>
    <r>
      <rPr>
        <sz val="9"/>
        <color indexed="9"/>
        <rFont val="Noto Sans CJK SC"/>
      </rPr>
      <t>・枕カバーは</t>
    </r>
    <r>
      <rPr>
        <sz val="9"/>
        <color indexed="9"/>
        <rFont val="游ゴシック体 ミディアム"/>
      </rPr>
      <t>EXW$1.62</t>
    </r>
    <r>
      <rPr>
        <sz val="9"/>
        <color indexed="9"/>
        <rFont val="Noto Sans CJK SC"/>
      </rPr>
      <t>と安く上代が相場以下。要再設定。</t>
    </r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</si>
  <si>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スウェット 原価・上代（</t>
    </r>
    <r>
      <rPr>
        <sz val="15"/>
        <color indexed="9"/>
        <rFont val="游ゴシック体 ミディアム"/>
      </rPr>
      <t>35%</t>
    </r>
    <r>
      <rPr>
        <sz val="15"/>
        <color indexed="9"/>
        <rFont val="Noto Sans CJK SC"/>
      </rPr>
      <t>）</t>
    </r>
  </si>
  <si>
    <r>
      <rPr>
        <sz val="10"/>
        <color indexed="12"/>
        <rFont val="Noto Sans CJK SC"/>
      </rPr>
      <t>素材：ヘンプ</t>
    </r>
    <r>
      <rPr>
        <sz val="10"/>
        <color indexed="12"/>
        <rFont val="游ゴシック体 ミディアム"/>
      </rPr>
      <t>55%</t>
    </r>
    <r>
      <rPr>
        <sz val="10"/>
        <color indexed="12"/>
        <rFont val="Noto Sans CJK SC"/>
      </rPr>
      <t>／オーガニックコットン</t>
    </r>
    <r>
      <rPr>
        <sz val="10"/>
        <color indexed="12"/>
        <rFont val="游ゴシック体 ミディアム"/>
      </rPr>
      <t>45%</t>
    </r>
    <r>
      <rPr>
        <sz val="10"/>
        <color indexed="12"/>
        <rFont val="Noto Sans CJK SC"/>
      </rPr>
      <t>・</t>
    </r>
    <r>
      <rPr>
        <sz val="10"/>
        <color indexed="12"/>
        <rFont val="游ゴシック体 ミディアム"/>
      </rPr>
      <t>380g</t>
    </r>
    <r>
      <rPr>
        <sz val="10"/>
        <color indexed="12"/>
        <rFont val="Noto Sans CJK SC"/>
      </rPr>
      <t>／白のみ／</t>
    </r>
    <r>
      <rPr>
        <sz val="10"/>
        <color indexed="12"/>
        <rFont val="游ゴシック体 ミディアム"/>
      </rPr>
      <t>S</t>
    </r>
    <r>
      <rPr>
        <sz val="10"/>
        <color indexed="12"/>
        <rFont val="Noto Sans CJK SC"/>
      </rPr>
      <t>・</t>
    </r>
    <r>
      <rPr>
        <sz val="10"/>
        <color indexed="12"/>
        <rFont val="游ゴシック体 ミディアム"/>
      </rPr>
      <t>M</t>
    </r>
    <r>
      <rPr>
        <sz val="10"/>
        <color indexed="12"/>
        <rFont val="Noto Sans CJK SC"/>
      </rPr>
      <t>・</t>
    </r>
    <r>
      <rPr>
        <sz val="10"/>
        <color indexed="12"/>
        <rFont val="游ゴシック体 ミディアム"/>
      </rPr>
      <t>L</t>
    </r>
  </si>
  <si>
    <r>
      <rPr>
        <sz val="9"/>
        <color indexed="9"/>
        <rFont val="游ゴシック体 ミディアム"/>
      </rPr>
      <t>WTO8.4%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>RCEP6.3%</t>
    </r>
  </si>
  <si>
    <t>S</t>
  </si>
  <si>
    <t>M</t>
  </si>
  <si>
    <t>L</t>
  </si>
  <si>
    <t>【注意（スウェット）】</t>
  </si>
  <si>
    <r>
      <rPr>
        <sz val="9"/>
        <color indexed="9"/>
        <rFont val="Noto Sans CJK SC"/>
      </rPr>
      <t>・</t>
    </r>
    <r>
      <rPr>
        <sz val="9"/>
        <color indexed="9"/>
        <rFont val="游ゴシック体 ミディアム"/>
      </rPr>
      <t>1</t>
    </r>
    <r>
      <rPr>
        <sz val="9"/>
        <color indexed="9"/>
        <rFont val="Noto Sans CJK SC"/>
      </rPr>
      <t>枚 税込</t>
    </r>
    <r>
      <rPr>
        <sz val="9"/>
        <color indexed="9"/>
        <rFont val="游ゴシック体 ミディアム"/>
      </rPr>
      <t>¥11,816</t>
    </r>
    <r>
      <rPr>
        <sz val="9"/>
        <color indexed="9"/>
        <rFont val="Noto Sans CJK SC"/>
      </rPr>
      <t>（関税</t>
    </r>
    <r>
      <rPr>
        <sz val="9"/>
        <color indexed="9"/>
        <rFont val="游ゴシック体 ミディアム"/>
      </rPr>
      <t>8.4%</t>
    </r>
    <r>
      <rPr>
        <sz val="9"/>
        <color indexed="9"/>
        <rFont val="Noto Sans CJK SC"/>
      </rPr>
      <t>・</t>
    </r>
    <r>
      <rPr>
        <sz val="9"/>
        <color indexed="9"/>
        <rFont val="游ゴシック体 ミディアム"/>
      </rPr>
      <t>35%</t>
    </r>
    <r>
      <rPr>
        <sz val="9"/>
        <color indexed="9"/>
        <rFont val="Noto Sans CJK SC"/>
      </rPr>
      <t>）。</t>
    </r>
    <r>
      <rPr>
        <sz val="9"/>
        <color indexed="9"/>
        <rFont val="游ゴシック体 ミディアム"/>
      </rPr>
      <t>RCEP6.3%</t>
    </r>
    <r>
      <rPr>
        <sz val="9"/>
        <color indexed="9"/>
        <rFont val="Noto Sans CJK SC"/>
      </rPr>
      <t>なら約</t>
    </r>
    <r>
      <rPr>
        <sz val="9"/>
        <color indexed="9"/>
        <rFont val="游ゴシック体 ミディアム"/>
      </rPr>
      <t>¥11,622</t>
    </r>
    <r>
      <rPr>
        <sz val="9"/>
        <color indexed="9"/>
        <rFont val="Noto Sans CJK SC"/>
      </rPr>
      <t>。</t>
    </r>
  </si>
  <si>
    <r>
      <rPr>
        <sz val="9"/>
        <color indexed="9"/>
        <rFont val="Noto Sans CJK SC"/>
      </rPr>
      <t>・</t>
    </r>
    <r>
      <rPr>
        <sz val="9"/>
        <color indexed="9"/>
        <rFont val="游ゴシック体 ミディアム"/>
      </rPr>
      <t>HS6110.90(</t>
    </r>
    <r>
      <rPr>
        <sz val="9"/>
        <color indexed="9"/>
        <rFont val="Noto Sans CJK SC"/>
      </rPr>
      <t>ニット・その他繊維</t>
    </r>
    <r>
      <rPr>
        <sz val="9"/>
        <color indexed="9"/>
        <rFont val="游ゴシック体 ミディアム"/>
      </rPr>
      <t>)</t>
    </r>
    <r>
      <rPr>
        <sz val="9"/>
        <color indexed="9"/>
        <rFont val="Noto Sans CJK SC"/>
      </rPr>
      <t>。ヘンプ</t>
    </r>
    <r>
      <rPr>
        <sz val="9"/>
        <color indexed="9"/>
        <rFont val="游ゴシック体 ミディアム"/>
      </rPr>
      <t>55%&gt;</t>
    </r>
    <r>
      <rPr>
        <sz val="9"/>
        <color indexed="9"/>
        <rFont val="Noto Sans CJK SC"/>
      </rPr>
      <t>綿</t>
    </r>
    <r>
      <rPr>
        <sz val="9"/>
        <color indexed="9"/>
        <rFont val="游ゴシック体 ミディアム"/>
      </rPr>
      <t>45%</t>
    </r>
    <r>
      <rPr>
        <sz val="9"/>
        <color indexed="9"/>
        <rFont val="Noto Sans CJK SC"/>
      </rPr>
      <t>でその他繊維＝</t>
    </r>
    <r>
      <rPr>
        <sz val="9"/>
        <color indexed="9"/>
        <rFont val="游ゴシック体 ミディアム"/>
      </rPr>
      <t>8.4/6.3%</t>
    </r>
    <r>
      <rPr>
        <sz val="9"/>
        <color indexed="9"/>
        <rFont val="Noto Sans CJK SC"/>
      </rPr>
      <t>。</t>
    </r>
  </si>
  <si>
    <r>
      <rPr>
        <sz val="9"/>
        <color indexed="9"/>
        <rFont val="Noto Sans CJK SC"/>
      </rPr>
      <t>・黄色</t>
    </r>
    <r>
      <rPr>
        <sz val="9"/>
        <color indexed="9"/>
        <rFont val="游ゴシック体 ミディアム"/>
      </rPr>
      <t>D</t>
    </r>
    <r>
      <rPr>
        <sz val="9"/>
        <color indexed="9"/>
        <rFont val="Noto Sans CJK SC"/>
      </rPr>
      <t>列に</t>
    </r>
    <r>
      <rPr>
        <sz val="9"/>
        <color indexed="9"/>
        <rFont val="游ゴシック体 ミディアム"/>
      </rPr>
      <t>S/M/L</t>
    </r>
    <r>
      <rPr>
        <sz val="9"/>
        <color indexed="9"/>
        <rFont val="Noto Sans CJK SC"/>
      </rPr>
      <t>数量を入力すると金額・売上が自動計算。</t>
    </r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</si>
  <si>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下着</t>
    </r>
    <r>
      <rPr>
        <sz val="15"/>
        <color indexed="9"/>
        <rFont val="游ゴシック体 ミディアム"/>
      </rPr>
      <t>(ONE MILE)</t>
    </r>
    <r>
      <rPr>
        <sz val="15"/>
        <color indexed="9"/>
        <rFont val="Noto Sans CJK SC"/>
      </rPr>
      <t>シリーズ 原価・上代（</t>
    </r>
    <r>
      <rPr>
        <sz val="15"/>
        <color indexed="9"/>
        <rFont val="游ゴシック体 ミディアム"/>
      </rPr>
      <t>40%</t>
    </r>
    <r>
      <rPr>
        <sz val="15"/>
        <color indexed="9"/>
        <rFont val="Noto Sans CJK SC"/>
      </rPr>
      <t>）</t>
    </r>
  </si>
  <si>
    <r>
      <rPr>
        <sz val="10"/>
        <color indexed="12"/>
        <rFont val="Noto Sans CJK SC"/>
      </rPr>
      <t>素材：</t>
    </r>
    <r>
      <rPr>
        <sz val="10"/>
        <color indexed="12"/>
        <rFont val="游ゴシック体 ミディアム"/>
      </rPr>
      <t>95%</t>
    </r>
    <r>
      <rPr>
        <sz val="10"/>
        <color indexed="12"/>
        <rFont val="Noto Sans CJK SC"/>
      </rPr>
      <t>ヘンプ／</t>
    </r>
    <r>
      <rPr>
        <sz val="10"/>
        <color indexed="12"/>
        <rFont val="游ゴシック体 ミディアム"/>
      </rPr>
      <t>5%</t>
    </r>
    <r>
      <rPr>
        <sz val="10"/>
        <color indexed="12"/>
        <rFont val="Noto Sans CJK SC"/>
      </rPr>
      <t>スパンデックス｜</t>
    </r>
    <r>
      <rPr>
        <sz val="10"/>
        <color indexed="12"/>
        <rFont val="游ゴシック体 ミディアム"/>
      </rPr>
      <t>EXW</t>
    </r>
    <r>
      <rPr>
        <sz val="10"/>
        <color indexed="12"/>
        <rFont val="Noto Sans CJK SC"/>
      </rPr>
      <t>は最終</t>
    </r>
    <r>
      <rPr>
        <sz val="10"/>
        <color indexed="12"/>
        <rFont val="游ゴシック体 ミディアム"/>
      </rPr>
      <t>FOB</t>
    </r>
    <r>
      <rPr>
        <sz val="10"/>
        <color indexed="12"/>
        <rFont val="Noto Sans CJK SC"/>
      </rPr>
      <t>（当初見積もりから各</t>
    </r>
    <r>
      <rPr>
        <sz val="10"/>
        <color indexed="12"/>
        <rFont val="游ゴシック体 ミディアム"/>
      </rPr>
      <t>$1.2</t>
    </r>
    <r>
      <rPr>
        <sz val="10"/>
        <color indexed="12"/>
        <rFont val="Noto Sans CJK SC"/>
      </rPr>
      <t>引き）</t>
    </r>
  </si>
  <si>
    <t>No.</t>
  </si>
  <si>
    <t>素材</t>
  </si>
  <si>
    <r>
      <rPr>
        <sz val="9"/>
        <color indexed="10"/>
        <rFont val="游ゴシック体 ミディアム"/>
      </rPr>
      <t>EXW</t>
    </r>
    <r>
      <rPr>
        <sz val="9"/>
        <color indexed="10"/>
        <rFont val="Noto Sans CJK SC"/>
      </rPr>
      <t xml:space="preserve">単価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最終</t>
    </r>
    <r>
      <rPr>
        <sz val="9"/>
        <color indexed="10"/>
        <rFont val="游ゴシック体 ミディアム"/>
      </rPr>
      <t>)</t>
    </r>
  </si>
  <si>
    <r>
      <rPr>
        <sz val="11"/>
        <color indexed="9"/>
        <rFont val="Noto Sans CJK SC"/>
      </rPr>
      <t>ベスト</t>
    </r>
    <r>
      <rPr>
        <sz val="11"/>
        <color indexed="9"/>
        <rFont val="游ゴシック体 ミディアム"/>
      </rPr>
      <t>(Vest)</t>
    </r>
  </si>
  <si>
    <t>95%hemp/5%spandex</t>
  </si>
  <si>
    <r>
      <rPr>
        <sz val="11"/>
        <color indexed="9"/>
        <rFont val="Noto Sans CJK SC"/>
      </rPr>
      <t>ブラ</t>
    </r>
    <r>
      <rPr>
        <sz val="11"/>
        <color indexed="9"/>
        <rFont val="游ゴシック体 ミディアム"/>
      </rPr>
      <t>(bra)</t>
    </r>
  </si>
  <si>
    <t>アンダーウェア</t>
  </si>
  <si>
    <r>
      <rPr>
        <sz val="11"/>
        <color indexed="9"/>
        <rFont val="Noto Sans CJK SC"/>
      </rPr>
      <t>アンダーウェア</t>
    </r>
    <r>
      <rPr>
        <sz val="11"/>
        <color indexed="9"/>
        <rFont val="游ゴシック体 ミディアム"/>
      </rPr>
      <t>(</t>
    </r>
    <r>
      <rPr>
        <sz val="11"/>
        <color indexed="9"/>
        <rFont val="Noto Sans CJK SC"/>
      </rPr>
      <t>ジョガー</t>
    </r>
    <r>
      <rPr>
        <sz val="11"/>
        <color indexed="9"/>
        <rFont val="游ゴシック体 ミディアム"/>
      </rPr>
      <t>)</t>
    </r>
  </si>
  <si>
    <r>
      <rPr>
        <sz val="11"/>
        <color indexed="9"/>
        <rFont val="Noto Sans CJK SC"/>
      </rPr>
      <t>アンダーウェア</t>
    </r>
    <r>
      <rPr>
        <sz val="11"/>
        <color indexed="9"/>
        <rFont val="游ゴシック体 ミディアム"/>
      </rPr>
      <t>(</t>
    </r>
    <r>
      <rPr>
        <sz val="11"/>
        <color indexed="9"/>
        <rFont val="Noto Sans CJK SC"/>
      </rPr>
      <t>ワークパンツ</t>
    </r>
    <r>
      <rPr>
        <sz val="11"/>
        <color indexed="9"/>
        <rFont val="游ゴシック体 ミディアム"/>
      </rPr>
      <t>)</t>
    </r>
  </si>
  <si>
    <t>【注意（下着）】</t>
  </si>
  <si>
    <r>
      <rPr>
        <sz val="9"/>
        <color indexed="9"/>
        <rFont val="Noto Sans CJK SC"/>
      </rPr>
      <t>・</t>
    </r>
    <r>
      <rPr>
        <sz val="9"/>
        <color indexed="9"/>
        <rFont val="游ゴシック体 ミディアム"/>
      </rPr>
      <t>EXW</t>
    </r>
    <r>
      <rPr>
        <sz val="9"/>
        <color indexed="9"/>
        <rFont val="Noto Sans CJK SC"/>
      </rPr>
      <t>は最終</t>
    </r>
    <r>
      <rPr>
        <sz val="9"/>
        <color indexed="9"/>
        <rFont val="游ゴシック体 ミディアム"/>
      </rPr>
      <t>FOB</t>
    </r>
    <r>
      <rPr>
        <sz val="9"/>
        <color indexed="9"/>
        <rFont val="Noto Sans CJK SC"/>
      </rPr>
      <t>（当初見積</t>
    </r>
    <r>
      <rPr>
        <sz val="9"/>
        <color indexed="9"/>
        <rFont val="游ゴシック体 ミディアム"/>
      </rPr>
      <t>Vest16-18/bra11-13/UW8-15</t>
    </r>
    <r>
      <rPr>
        <sz val="9"/>
        <color indexed="9"/>
        <rFont val="Noto Sans CJK SC"/>
      </rPr>
      <t>から各</t>
    </r>
    <r>
      <rPr>
        <sz val="9"/>
        <color indexed="9"/>
        <rFont val="游ゴシック体 ミディアム"/>
      </rPr>
      <t>$1.2</t>
    </r>
    <r>
      <rPr>
        <sz val="9"/>
        <color indexed="9"/>
        <rFont val="Noto Sans CJK SC"/>
      </rPr>
      <t>引き）。全</t>
    </r>
    <r>
      <rPr>
        <sz val="9"/>
        <color indexed="9"/>
        <rFont val="游ゴシック体 ミディアム"/>
      </rPr>
      <t>11</t>
    </r>
    <r>
      <rPr>
        <sz val="9"/>
        <color indexed="9"/>
        <rFont val="Noto Sans CJK SC"/>
      </rPr>
      <t>型・数量</t>
    </r>
    <r>
      <rPr>
        <sz val="9"/>
        <color indexed="9"/>
        <rFont val="游ゴシック体 ミディアム"/>
      </rPr>
      <t>50</t>
    </r>
    <r>
      <rPr>
        <sz val="9"/>
        <color indexed="9"/>
        <rFont val="Noto Sans CJK SC"/>
      </rPr>
      <t>・計</t>
    </r>
    <r>
      <rPr>
        <sz val="9"/>
        <color indexed="9"/>
        <rFont val="游ゴシック体 ミディアム"/>
      </rPr>
      <t>550</t>
    </r>
    <r>
      <rPr>
        <sz val="9"/>
        <color indexed="9"/>
        <rFont val="Noto Sans CJK SC"/>
      </rPr>
      <t>枚。</t>
    </r>
  </si>
  <si>
    <r>
      <rPr>
        <sz val="9"/>
        <color indexed="9"/>
        <rFont val="Noto Sans CJK SC"/>
      </rPr>
      <t>・関税ニット</t>
    </r>
    <r>
      <rPr>
        <sz val="9"/>
        <color indexed="9"/>
        <rFont val="游ゴシック体 ミディアム"/>
      </rPr>
      <t>(</t>
    </r>
    <r>
      <rPr>
        <sz val="9"/>
        <color indexed="9"/>
        <rFont val="Noto Sans CJK SC"/>
      </rPr>
      <t>その他繊維</t>
    </r>
    <r>
      <rPr>
        <sz val="9"/>
        <color indexed="9"/>
        <rFont val="游ゴシック体 ミディアム"/>
      </rPr>
      <t>)8.4%/6.3%(C8</t>
    </r>
    <r>
      <rPr>
        <sz val="9"/>
        <color indexed="9"/>
        <rFont val="Noto Sans CJK SC"/>
      </rPr>
      <t>切替</t>
    </r>
    <r>
      <rPr>
        <sz val="9"/>
        <color indexed="9"/>
        <rFont val="游ゴシック体 ミディアム"/>
      </rPr>
      <t>)</t>
    </r>
    <r>
      <rPr>
        <sz val="9"/>
        <color indexed="9"/>
        <rFont val="Noto Sans CJK SC"/>
      </rPr>
      <t>。ブラ</t>
    </r>
    <r>
      <rPr>
        <sz val="9"/>
        <color indexed="9"/>
        <rFont val="游ゴシック体 ミディアム"/>
      </rPr>
      <t>(HS6212)</t>
    </r>
    <r>
      <rPr>
        <sz val="9"/>
        <color indexed="9"/>
        <rFont val="Noto Sans CJK SC"/>
      </rPr>
      <t>は分類が別で税率が異なる場合あり要確認。</t>
    </r>
  </si>
  <si>
    <r>
      <rPr>
        <sz val="9"/>
        <color indexed="9"/>
        <rFont val="Noto Sans CJK SC"/>
      </rPr>
      <t>・肌着は価格感度高め。総原価＝工場出し</t>
    </r>
    <r>
      <rPr>
        <sz val="9"/>
        <color indexed="9"/>
        <rFont val="游ゴシック体 ミディアム"/>
      </rPr>
      <t>+</t>
    </r>
    <r>
      <rPr>
        <sz val="9"/>
        <color indexed="9"/>
        <rFont val="Noto Sans CJK SC"/>
      </rPr>
      <t>経費</t>
    </r>
    <r>
      <rPr>
        <sz val="9"/>
        <color indexed="9"/>
        <rFont val="游ゴシック体 ミディアム"/>
      </rPr>
      <t>20%+</t>
    </r>
    <r>
      <rPr>
        <sz val="9"/>
        <color indexed="9"/>
        <rFont val="Noto Sans CJK SC"/>
      </rPr>
      <t>関税、上代＝</t>
    </r>
    <r>
      <rPr>
        <sz val="9"/>
        <color indexed="9"/>
        <rFont val="游ゴシック体 ミディアム"/>
      </rPr>
      <t>÷40%</t>
    </r>
    <r>
      <rPr>
        <sz val="9"/>
        <color indexed="9"/>
        <rFont val="Noto Sans CJK SC"/>
      </rPr>
      <t>・税込</t>
    </r>
    <r>
      <rPr>
        <sz val="9"/>
        <color indexed="9"/>
        <rFont val="游ゴシック体 ミディアム"/>
      </rPr>
      <t>×1.1</t>
    </r>
    <r>
      <rPr>
        <sz val="9"/>
        <color indexed="9"/>
        <rFont val="Noto Sans CJK SC"/>
      </rPr>
      <t>。</t>
    </r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</si>
  <si>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>下着</t>
    </r>
    <r>
      <rPr>
        <sz val="15"/>
        <color indexed="9"/>
        <rFont val="游ゴシック体 ミディアム"/>
      </rPr>
      <t xml:space="preserve">(ONE MILE) </t>
    </r>
    <r>
      <rPr>
        <sz val="15"/>
        <color indexed="9"/>
        <rFont val="Noto Sans CJK SC"/>
      </rPr>
      <t>図形一覧（全</t>
    </r>
    <r>
      <rPr>
        <sz val="15"/>
        <color indexed="9"/>
        <rFont val="游ゴシック体 ミディアム"/>
      </rPr>
      <t>11</t>
    </r>
    <r>
      <rPr>
        <sz val="15"/>
        <color indexed="9"/>
        <rFont val="Noto Sans CJK SC"/>
      </rPr>
      <t>型）</t>
    </r>
  </si>
  <si>
    <r>
      <rPr>
        <sz val="10"/>
        <color indexed="12"/>
        <rFont val="Noto Sans CJK SC"/>
      </rPr>
      <t>図形は見積書の絵型を使用。想定上代は税込（経費</t>
    </r>
    <r>
      <rPr>
        <sz val="10"/>
        <color indexed="12"/>
        <rFont val="游ゴシック体 ミディアム"/>
      </rPr>
      <t>20%</t>
    </r>
    <r>
      <rPr>
        <sz val="10"/>
        <color indexed="12"/>
        <rFont val="Noto Sans CJK SC"/>
      </rPr>
      <t>・関税</t>
    </r>
    <r>
      <rPr>
        <sz val="10"/>
        <color indexed="12"/>
        <rFont val="游ゴシック体 ミディアム"/>
      </rPr>
      <t>8.4%</t>
    </r>
    <r>
      <rPr>
        <sz val="10"/>
        <color indexed="12"/>
        <rFont val="Noto Sans CJK SC"/>
      </rPr>
      <t>・原価率</t>
    </r>
    <r>
      <rPr>
        <sz val="10"/>
        <color indexed="12"/>
        <rFont val="游ゴシック体 ミディアム"/>
      </rPr>
      <t>40%</t>
    </r>
    <r>
      <rPr>
        <sz val="10"/>
        <color indexed="12"/>
        <rFont val="Noto Sans CJK SC"/>
      </rPr>
      <t>）。</t>
    </r>
  </si>
  <si>
    <t>図形</t>
  </si>
  <si>
    <r>
      <rPr>
        <sz val="10"/>
        <color indexed="10"/>
        <rFont val="游ゴシック体 ミディアム"/>
      </rPr>
      <t>EXW(</t>
    </r>
    <r>
      <rPr>
        <sz val="10"/>
        <color indexed="10"/>
        <rFont val="Noto Sans CJK SC"/>
      </rPr>
      <t>最終</t>
    </r>
    <r>
      <rPr>
        <sz val="10"/>
        <color indexed="10"/>
        <rFont val="游ゴシック体 ミディアム"/>
      </rPr>
      <t>)</t>
    </r>
  </si>
  <si>
    <r>
      <rPr>
        <sz val="9"/>
        <color indexed="12"/>
        <rFont val="Noto Sans CJK SC"/>
      </rPr>
      <t>※図形は見積書</t>
    </r>
    <r>
      <rPr>
        <sz val="9"/>
        <color indexed="12"/>
        <rFont val="游ゴシック体 ミディアム"/>
      </rPr>
      <t>(Quotation List)</t>
    </r>
    <r>
      <rPr>
        <sz val="9"/>
        <color indexed="12"/>
        <rFont val="Noto Sans CJK SC"/>
      </rPr>
      <t>の絵型を切り出したもの。手描きの寸法メモが含まれる場合あり。</t>
    </r>
  </si>
  <si>
    <r>
      <rPr>
        <sz val="15"/>
        <color indexed="9"/>
        <rFont val="游ゴシック体 ミディアム"/>
      </rPr>
      <t xml:space="preserve">ahum organics ── </t>
    </r>
    <r>
      <rPr>
        <sz val="15"/>
        <color indexed="9"/>
        <rFont val="Noto Sans CJK SC"/>
      </rPr>
      <t xml:space="preserve">エプロン </t>
    </r>
    <r>
      <rPr>
        <sz val="15"/>
        <color indexed="9"/>
        <rFont val="游ゴシック体 ミディアム"/>
      </rPr>
      <t xml:space="preserve">&amp; </t>
    </r>
    <r>
      <rPr>
        <sz val="15"/>
        <color indexed="9"/>
        <rFont val="Noto Sans CJK SC"/>
      </rPr>
      <t>タオル類 原価・上代（</t>
    </r>
    <r>
      <rPr>
        <sz val="15"/>
        <color indexed="9"/>
        <rFont val="游ゴシック体 ミディアム"/>
      </rPr>
      <t>40%</t>
    </r>
    <r>
      <rPr>
        <sz val="15"/>
        <color indexed="9"/>
        <rFont val="Noto Sans CJK SC"/>
      </rPr>
      <t>）</t>
    </r>
  </si>
  <si>
    <r>
      <rPr>
        <sz val="10"/>
        <color indexed="12"/>
        <rFont val="游ゴシック体 ミディアム"/>
      </rPr>
      <t>100%</t>
    </r>
    <r>
      <rPr>
        <sz val="10"/>
        <color indexed="12"/>
        <rFont val="Noto Sans CJK SC"/>
      </rPr>
      <t xml:space="preserve">ヘンプ </t>
    </r>
    <r>
      <rPr>
        <sz val="10"/>
        <color indexed="12"/>
        <rFont val="游ゴシック体 ミディアム"/>
      </rPr>
      <t>210gsm</t>
    </r>
    <r>
      <rPr>
        <sz val="10"/>
        <color indexed="12"/>
        <rFont val="Noto Sans CJK SC"/>
      </rPr>
      <t>｜</t>
    </r>
    <r>
      <rPr>
        <sz val="10"/>
        <color indexed="12"/>
        <rFont val="游ゴシック体 ミディアム"/>
      </rPr>
      <t>SHANXI ONRAYS IMP.&amp;EXP. CO.,LTD.</t>
    </r>
    <r>
      <rPr>
        <sz val="10"/>
        <color indexed="12"/>
        <rFont val="Noto Sans CJK SC"/>
      </rPr>
      <t>（</t>
    </r>
    <r>
      <rPr>
        <sz val="10"/>
        <color indexed="12"/>
        <rFont val="游ゴシック体 ミディアム"/>
      </rPr>
      <t>DAP</t>
    </r>
    <r>
      <rPr>
        <sz val="10"/>
        <color indexed="12"/>
        <rFont val="Noto Sans CJK SC"/>
      </rPr>
      <t>）｜合計</t>
    </r>
    <r>
      <rPr>
        <sz val="10"/>
        <color indexed="12"/>
        <rFont val="游ゴシック体 ミディアム"/>
      </rPr>
      <t>190pcs / US$4,220</t>
    </r>
  </si>
  <si>
    <r>
      <rPr>
        <sz val="9"/>
        <color indexed="9"/>
        <rFont val="Noto Sans CJK SC"/>
      </rPr>
      <t>寝具</t>
    </r>
    <r>
      <rPr>
        <sz val="9"/>
        <color indexed="9"/>
        <rFont val="游ゴシック体 ミディアム"/>
      </rPr>
      <t>5.3%</t>
    </r>
    <r>
      <rPr>
        <sz val="9"/>
        <color indexed="9"/>
        <rFont val="Noto Sans CJK SC"/>
      </rPr>
      <t>／衣料</t>
    </r>
    <r>
      <rPr>
        <sz val="9"/>
        <color indexed="9"/>
        <rFont val="游ゴシック体 ミディアム"/>
      </rPr>
      <t>9.1%</t>
    </r>
  </si>
  <si>
    <r>
      <rPr>
        <sz val="9"/>
        <color indexed="10"/>
        <rFont val="Noto Sans CJK SC"/>
      </rPr>
      <t xml:space="preserve">競合参考
</t>
    </r>
    <r>
      <rPr>
        <sz val="9"/>
        <color indexed="10"/>
        <rFont val="游ゴシック体 ミディアム"/>
      </rPr>
      <t>(</t>
    </r>
    <r>
      <rPr>
        <sz val="9"/>
        <color indexed="10"/>
        <rFont val="Noto Sans CJK SC"/>
      </rPr>
      <t>税込</t>
    </r>
    <r>
      <rPr>
        <sz val="9"/>
        <color indexed="10"/>
        <rFont val="游ゴシック体 ミディアム"/>
      </rPr>
      <t>)</t>
    </r>
  </si>
  <si>
    <t>差</t>
  </si>
  <si>
    <t>ハンドタオル</t>
  </si>
  <si>
    <t>30×30cm</t>
  </si>
  <si>
    <t>フェイスタオル</t>
  </si>
  <si>
    <t>33×80cm</t>
  </si>
  <si>
    <t>バスタオル</t>
  </si>
  <si>
    <t>65×125cm</t>
  </si>
  <si>
    <t>ショール</t>
  </si>
  <si>
    <t>65×180cm</t>
  </si>
  <si>
    <t>シーツ</t>
  </si>
  <si>
    <t>136×210cm</t>
  </si>
  <si>
    <t>エプロン</t>
  </si>
  <si>
    <r>
      <rPr>
        <sz val="11"/>
        <color indexed="9"/>
        <rFont val="游ゴシック体 ミディアム"/>
      </rPr>
      <t>(</t>
    </r>
    <r>
      <rPr>
        <sz val="11"/>
        <color indexed="9"/>
        <rFont val="Noto Sans CJK SC"/>
      </rPr>
      <t>要確認</t>
    </r>
    <r>
      <rPr>
        <sz val="11"/>
        <color indexed="9"/>
        <rFont val="游ゴシック体 ミディアム"/>
      </rPr>
      <t>)</t>
    </r>
  </si>
  <si>
    <t>【注意（エプロン＆タオル類）】</t>
  </si>
  <si>
    <r>
      <rPr>
        <sz val="9"/>
        <color indexed="9"/>
        <rFont val="Noto Sans CJK SC"/>
      </rPr>
      <t>・出典：</t>
    </r>
    <r>
      <rPr>
        <sz val="9"/>
        <color indexed="9"/>
        <rFont val="游ゴシック体 ミディアム"/>
      </rPr>
      <t xml:space="preserve">SHANXI ONRAYS </t>
    </r>
    <r>
      <rPr>
        <sz val="9"/>
        <color indexed="9"/>
        <rFont val="Noto Sans CJK SC"/>
      </rPr>
      <t xml:space="preserve">の </t>
    </r>
    <r>
      <rPr>
        <sz val="9"/>
        <color indexed="9"/>
        <rFont val="游ゴシック体 ミディアム"/>
      </rPr>
      <t>Quotation List</t>
    </r>
    <r>
      <rPr>
        <sz val="9"/>
        <color indexed="9"/>
        <rFont val="Noto Sans CJK SC"/>
      </rPr>
      <t>（</t>
    </r>
    <r>
      <rPr>
        <sz val="9"/>
        <color indexed="9"/>
        <rFont val="游ゴシック体 ミディアム"/>
      </rPr>
      <t>.numbers</t>
    </r>
    <r>
      <rPr>
        <sz val="9"/>
        <color indexed="9"/>
        <rFont val="Noto Sans CJK SC"/>
      </rPr>
      <t>）。素材</t>
    </r>
    <r>
      <rPr>
        <sz val="9"/>
        <color indexed="9"/>
        <rFont val="游ゴシック体 ミディアム"/>
      </rPr>
      <t>100%</t>
    </r>
    <r>
      <rPr>
        <sz val="9"/>
        <color indexed="9"/>
        <rFont val="Noto Sans CJK SC"/>
      </rPr>
      <t>ヘンプ</t>
    </r>
    <r>
      <rPr>
        <sz val="9"/>
        <color indexed="9"/>
        <rFont val="游ゴシック体 ミディアム"/>
      </rPr>
      <t>210gsm</t>
    </r>
    <r>
      <rPr>
        <sz val="9"/>
        <color indexed="9"/>
        <rFont val="Noto Sans CJK SC"/>
      </rPr>
      <t>、</t>
    </r>
    <r>
      <rPr>
        <sz val="9"/>
        <color indexed="9"/>
        <rFont val="游ゴシック体 ミディアム"/>
      </rPr>
      <t>Trade Term=DAP</t>
    </r>
    <r>
      <rPr>
        <sz val="9"/>
        <color indexed="9"/>
        <rFont val="Noto Sans CJK SC"/>
      </rPr>
      <t>、有効</t>
    </r>
    <r>
      <rPr>
        <sz val="9"/>
        <color indexed="9"/>
        <rFont val="游ゴシック体 ミディアム"/>
      </rPr>
      <t>15</t>
    </r>
    <r>
      <rPr>
        <sz val="9"/>
        <color indexed="9"/>
        <rFont val="Noto Sans CJK SC"/>
      </rPr>
      <t>日、支払</t>
    </r>
    <r>
      <rPr>
        <sz val="9"/>
        <color indexed="9"/>
        <rFont val="游ゴシック体 ミディアム"/>
      </rPr>
      <t>50%</t>
    </r>
    <r>
      <rPr>
        <sz val="9"/>
        <color indexed="9"/>
        <rFont val="Noto Sans CJK SC"/>
      </rPr>
      <t>前金。</t>
    </r>
  </si>
  <si>
    <r>
      <rPr>
        <sz val="9"/>
        <color indexed="9"/>
        <rFont val="Noto Sans CJK SC"/>
      </rPr>
      <t>・単価</t>
    </r>
    <r>
      <rPr>
        <sz val="9"/>
        <color indexed="9"/>
        <rFont val="游ゴシック体 ミディアム"/>
      </rPr>
      <t>×</t>
    </r>
    <r>
      <rPr>
        <sz val="9"/>
        <color indexed="9"/>
        <rFont val="Noto Sans CJK SC"/>
      </rPr>
      <t>数量＝金額、合計</t>
    </r>
    <r>
      <rPr>
        <sz val="9"/>
        <color indexed="9"/>
        <rFont val="游ゴシック体 ミディアム"/>
      </rPr>
      <t>190pcs</t>
    </r>
    <r>
      <rPr>
        <sz val="9"/>
        <color indexed="9"/>
        <rFont val="Noto Sans CJK SC"/>
      </rPr>
      <t>／</t>
    </r>
    <r>
      <rPr>
        <sz val="9"/>
        <color indexed="9"/>
        <rFont val="游ゴシック体 ミディアム"/>
      </rPr>
      <t xml:space="preserve">US$4,220 </t>
    </r>
    <r>
      <rPr>
        <sz val="9"/>
        <color indexed="9"/>
        <rFont val="Noto Sans CJK SC"/>
      </rPr>
      <t xml:space="preserve">が見積書の総計と完全一致することを確認済み。別途 送料 </t>
    </r>
    <r>
      <rPr>
        <sz val="9"/>
        <color indexed="9"/>
        <rFont val="游ゴシック体 ミディアム"/>
      </rPr>
      <t>US$111.15(4kg)</t>
    </r>
    <r>
      <rPr>
        <sz val="9"/>
        <color indexed="9"/>
        <rFont val="Noto Sans CJK SC"/>
      </rPr>
      <t>。</t>
    </r>
  </si>
  <si>
    <r>
      <rPr>
        <sz val="9"/>
        <color indexed="9"/>
        <rFont val="Noto Sans CJK SC"/>
      </rPr>
      <t>★エプロンの単価</t>
    </r>
    <r>
      <rPr>
        <sz val="9"/>
        <color indexed="9"/>
        <rFont val="游ゴシック体 ミディアム"/>
      </rPr>
      <t>$42.20</t>
    </r>
    <r>
      <rPr>
        <sz val="9"/>
        <color indexed="9"/>
        <rFont val="Noto Sans CJK SC"/>
      </rPr>
      <t>は「総計−他</t>
    </r>
    <r>
      <rPr>
        <sz val="9"/>
        <color indexed="9"/>
        <rFont val="游ゴシック体 ミディアム"/>
      </rPr>
      <t>5</t>
    </r>
    <r>
      <rPr>
        <sz val="9"/>
        <color indexed="9"/>
        <rFont val="Noto Sans CJK SC"/>
      </rPr>
      <t>品目」からの逆算値で、見積書に直接記載の数字ではありません。工場に要確認。</t>
    </r>
  </si>
  <si>
    <r>
      <rPr>
        <sz val="9"/>
        <color indexed="9"/>
        <rFont val="Noto Sans CJK SC"/>
      </rPr>
      <t>　（参考：別見積のエプロンは</t>
    </r>
    <r>
      <rPr>
        <sz val="9"/>
        <color indexed="9"/>
        <rFont val="游ゴシック体 ミディアム"/>
      </rPr>
      <t>135</t>
    </r>
    <r>
      <rPr>
        <sz val="9"/>
        <color indexed="9"/>
        <rFont val="Noto Sans CJK SC"/>
      </rPr>
      <t>元≒</t>
    </r>
    <r>
      <rPr>
        <sz val="9"/>
        <color indexed="9"/>
        <rFont val="游ゴシック体 ミディアム"/>
      </rPr>
      <t>$19</t>
    </r>
    <r>
      <rPr>
        <sz val="9"/>
        <color indexed="9"/>
        <rFont val="Noto Sans CJK SC"/>
      </rPr>
      <t>。</t>
    </r>
    <r>
      <rPr>
        <sz val="9"/>
        <color indexed="9"/>
        <rFont val="游ゴシック体 ミディアム"/>
      </rPr>
      <t>$42.20</t>
    </r>
    <r>
      <rPr>
        <sz val="9"/>
        <color indexed="9"/>
        <rFont val="Noto Sans CJK SC"/>
      </rPr>
      <t>は約</t>
    </r>
    <r>
      <rPr>
        <sz val="9"/>
        <color indexed="9"/>
        <rFont val="游ゴシック体 ミディアム"/>
      </rPr>
      <t>2</t>
    </r>
    <r>
      <rPr>
        <sz val="9"/>
        <color indexed="9"/>
        <rFont val="Noto Sans CJK SC"/>
      </rPr>
      <t>倍で、競合</t>
    </r>
    <r>
      <rPr>
        <sz val="9"/>
        <color indexed="9"/>
        <rFont val="游ゴシック体 ミディアム"/>
      </rPr>
      <t>Homeland</t>
    </r>
    <r>
      <rPr>
        <sz val="9"/>
        <color indexed="9"/>
        <rFont val="Noto Sans CJK SC"/>
      </rPr>
      <t>ヘンプエプロン</t>
    </r>
    <r>
      <rPr>
        <sz val="9"/>
        <color indexed="9"/>
        <rFont val="游ゴシック体 ミディアム"/>
      </rPr>
      <t>¥8,580</t>
    </r>
    <r>
      <rPr>
        <sz val="9"/>
        <color indexed="9"/>
        <rFont val="Noto Sans CJK SC"/>
      </rPr>
      <t>に対し上代が大きく上回ります）</t>
    </r>
  </si>
  <si>
    <r>
      <rPr>
        <sz val="9"/>
        <color indexed="9"/>
        <rFont val="Noto Sans CJK SC"/>
      </rPr>
      <t>・関税率：タオル・シーツは</t>
    </r>
    <r>
      <rPr>
        <sz val="9"/>
        <color indexed="9"/>
        <rFont val="游ゴシック体 ミディアム"/>
      </rPr>
      <t>HS6302(</t>
    </r>
    <r>
      <rPr>
        <sz val="9"/>
        <color indexed="9"/>
        <rFont val="Noto Sans CJK SC"/>
      </rPr>
      <t>家庭用リネン</t>
    </r>
    <r>
      <rPr>
        <sz val="9"/>
        <color indexed="9"/>
        <rFont val="游ゴシック体 ミディアム"/>
      </rPr>
      <t>)5.3%</t>
    </r>
    <r>
      <rPr>
        <sz val="9"/>
        <color indexed="9"/>
        <rFont val="Noto Sans CJK SC"/>
      </rPr>
      <t>、ショール・エプロンは衣料区分</t>
    </r>
    <r>
      <rPr>
        <sz val="9"/>
        <color indexed="9"/>
        <rFont val="游ゴシック体 ミディアム"/>
      </rPr>
      <t>9.1%</t>
    </r>
    <r>
      <rPr>
        <sz val="9"/>
        <color indexed="9"/>
        <rFont val="Noto Sans CJK SC"/>
      </rPr>
      <t>を仮置き。</t>
    </r>
    <r>
      <rPr>
        <sz val="9"/>
        <color indexed="9"/>
        <rFont val="游ゴシック体 ミディアム"/>
      </rPr>
      <t>HS</t>
    </r>
    <r>
      <rPr>
        <sz val="9"/>
        <color indexed="9"/>
        <rFont val="Noto Sans CJK SC"/>
      </rPr>
      <t>コードは事前教示で要確定。</t>
    </r>
  </si>
  <si>
    <r>
      <rPr>
        <sz val="9"/>
        <color indexed="9"/>
        <rFont val="Noto Sans CJK SC"/>
      </rPr>
      <t>・総原価＝工場出し</t>
    </r>
    <r>
      <rPr>
        <sz val="9"/>
        <color indexed="9"/>
        <rFont val="游ゴシック体 ミディアム"/>
      </rPr>
      <t>(EXW×160)</t>
    </r>
    <r>
      <rPr>
        <sz val="9"/>
        <color indexed="9"/>
        <rFont val="Noto Sans CJK SC"/>
      </rPr>
      <t>＋経費</t>
    </r>
    <r>
      <rPr>
        <sz val="9"/>
        <color indexed="9"/>
        <rFont val="游ゴシック体 ミディアム"/>
      </rPr>
      <t>20%</t>
    </r>
    <r>
      <rPr>
        <sz val="9"/>
        <color indexed="9"/>
        <rFont val="Noto Sans CJK SC"/>
      </rPr>
      <t>＋関税。想定上代＝総原価</t>
    </r>
    <r>
      <rPr>
        <sz val="9"/>
        <color indexed="9"/>
        <rFont val="游ゴシック体 ミディアム"/>
      </rPr>
      <t>÷</t>
    </r>
    <r>
      <rPr>
        <sz val="9"/>
        <color indexed="9"/>
        <rFont val="Noto Sans CJK SC"/>
      </rPr>
      <t>原価率</t>
    </r>
    <r>
      <rPr>
        <sz val="9"/>
        <color indexed="9"/>
        <rFont val="游ゴシック体 ミディアム"/>
      </rPr>
      <t>40%</t>
    </r>
    <r>
      <rPr>
        <sz val="9"/>
        <color indexed="9"/>
        <rFont val="Noto Sans CJK SC"/>
      </rPr>
      <t>、税込＝</t>
    </r>
    <r>
      <rPr>
        <sz val="9"/>
        <color indexed="9"/>
        <rFont val="游ゴシック体 ミディアム"/>
      </rPr>
      <t>×1.1</t>
    </r>
    <r>
      <rPr>
        <sz val="9"/>
        <color indexed="9"/>
        <rFont val="Noto Sans CJK SC"/>
      </rPr>
      <t>。</t>
    </r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</si>
</sst>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%"/>
    <numFmt numFmtId="60" formatCode="&quot;¥&quot;#,##0"/>
    <numFmt numFmtId="61" formatCode="&quot;¥+&quot;#,##0;&quot;¥-&quot;#,##0"/>
    <numFmt numFmtId="62" formatCode="[$$-409]#,##0.00"/>
  </numFmts>
  <fonts count="21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  <font>
      <sz val="15"/>
      <color indexed="9"/>
      <name val="游ゴシック体 ミディアム"/>
    </font>
    <font>
      <sz val="15"/>
      <color indexed="9"/>
      <name val="Noto Sans CJK SC"/>
    </font>
    <font>
      <sz val="10"/>
      <color indexed="12"/>
      <name val="Noto Sans CJK SC"/>
    </font>
    <font>
      <sz val="10"/>
      <color indexed="12"/>
      <name val="游ゴシック体 ミディアム"/>
    </font>
    <font>
      <sz val="11"/>
      <color indexed="9"/>
      <name val="Noto Sans CJK SC"/>
    </font>
    <font>
      <sz val="11"/>
      <color indexed="14"/>
      <name val="游ゴシック体 ミディアム"/>
    </font>
    <font>
      <sz val="9"/>
      <color indexed="9"/>
      <name val="游ゴシック体 ミディアム"/>
    </font>
    <font>
      <sz val="11"/>
      <color indexed="9"/>
      <name val="游ゴシック体 ミディアム"/>
    </font>
    <font>
      <sz val="9"/>
      <color indexed="9"/>
      <name val="Noto Sans CJK SC"/>
    </font>
    <font>
      <sz val="9"/>
      <color indexed="10"/>
      <name val="Noto Sans CJK SC"/>
    </font>
    <font>
      <sz val="9"/>
      <color indexed="10"/>
      <name val="游ゴシック体 ミディアム"/>
    </font>
    <font>
      <sz val="11"/>
      <color indexed="16"/>
      <name val="游ゴシック体 ミディアム"/>
    </font>
    <font>
      <sz val="9"/>
      <color indexed="19"/>
      <name val="游ゴシック体 ミディアム"/>
    </font>
    <font>
      <sz val="11"/>
      <color indexed="19"/>
      <name val="游ゴシック体 ミディアム"/>
    </font>
    <font>
      <sz val="10"/>
      <color indexed="10"/>
      <name val="Noto Sans CJK SC"/>
    </font>
    <font>
      <sz val="10"/>
      <color indexed="10"/>
      <name val="游ゴシック体 ミディアム"/>
    </font>
    <font>
      <sz val="9"/>
      <color indexed="12"/>
      <name val="Noto Sans CJK SC"/>
    </font>
    <font>
      <sz val="9"/>
      <color indexed="12"/>
      <name val="游ゴシック体 ミディアム"/>
    </font>
  </fonts>
  <fills count="2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7" fillId="2" borderId="3" applyNumberFormat="1" applyFont="1" applyFill="1" applyBorder="1" applyAlignment="1" applyProtection="0">
      <alignment vertical="bottom"/>
    </xf>
    <xf numFmtId="59" fontId="8" fillId="3" borderId="4" applyNumberFormat="1" applyFont="1" applyFill="1" applyBorder="1" applyAlignment="1" applyProtection="0">
      <alignment vertical="bottom"/>
    </xf>
    <xf numFmtId="1" fontId="9" fillId="2" borderId="5" applyNumberFormat="1" applyFont="1" applyFill="1" applyBorder="1" applyAlignment="1" applyProtection="0">
      <alignment vertical="bottom"/>
    </xf>
    <xf numFmtId="49" fontId="11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12" fillId="4" borderId="4" applyNumberFormat="1" applyFont="1" applyFill="1" applyBorder="1" applyAlignment="1" applyProtection="0">
      <alignment horizontal="center" vertical="center" wrapText="1"/>
    </xf>
    <xf numFmtId="49" fontId="13" fillId="4" borderId="4" applyNumberFormat="1" applyFont="1" applyFill="1" applyBorder="1" applyAlignment="1" applyProtection="0">
      <alignment horizontal="center" vertical="center" wrapText="1"/>
    </xf>
    <xf numFmtId="49" fontId="11" fillId="5" borderId="4" applyNumberFormat="1" applyFont="1" applyFill="1" applyBorder="1" applyAlignment="1" applyProtection="0">
      <alignment vertical="bottom"/>
    </xf>
    <xf numFmtId="49" fontId="10" fillId="5" borderId="4" applyNumberFormat="1" applyFont="1" applyFill="1" applyBorder="1" applyAlignment="1" applyProtection="0">
      <alignment vertical="bottom"/>
    </xf>
    <xf numFmtId="3" fontId="10" fillId="5" borderId="4" applyNumberFormat="1" applyFont="1" applyFill="1" applyBorder="1" applyAlignment="1" applyProtection="0">
      <alignment vertical="bottom"/>
    </xf>
    <xf numFmtId="60" fontId="8" fillId="5" borderId="4" applyNumberFormat="1" applyFont="1" applyFill="1" applyBorder="1" applyAlignment="1" applyProtection="0">
      <alignment vertical="bottom"/>
    </xf>
    <xf numFmtId="59" fontId="8" fillId="5" borderId="4" applyNumberFormat="1" applyFont="1" applyFill="1" applyBorder="1" applyAlignment="1" applyProtection="0">
      <alignment vertical="bottom"/>
    </xf>
    <xf numFmtId="9" fontId="8" fillId="5" borderId="4" applyNumberFormat="1" applyFont="1" applyFill="1" applyBorder="1" applyAlignment="1" applyProtection="0">
      <alignment vertical="bottom"/>
    </xf>
    <xf numFmtId="60" fontId="10" fillId="5" borderId="4" applyNumberFormat="1" applyFont="1" applyFill="1" applyBorder="1" applyAlignment="1" applyProtection="0">
      <alignment vertical="bottom"/>
    </xf>
    <xf numFmtId="60" fontId="10" fillId="6" borderId="4" applyNumberFormat="1" applyFont="1" applyFill="1" applyBorder="1" applyAlignment="1" applyProtection="0">
      <alignment vertical="bottom"/>
    </xf>
    <xf numFmtId="60" fontId="14" fillId="5" borderId="4" applyNumberFormat="1" applyFont="1" applyFill="1" applyBorder="1" applyAlignment="1" applyProtection="0">
      <alignment vertical="bottom"/>
    </xf>
    <xf numFmtId="59" fontId="10" fillId="5" borderId="4" applyNumberFormat="1" applyFont="1" applyFill="1" applyBorder="1" applyAlignment="1" applyProtection="0">
      <alignment vertical="bottom"/>
    </xf>
    <xf numFmtId="49" fontId="9" fillId="5" borderId="4" applyNumberFormat="1" applyFont="1" applyFill="1" applyBorder="1" applyAlignment="1" applyProtection="0">
      <alignment vertical="bottom"/>
    </xf>
    <xf numFmtId="61" fontId="10" fillId="5" borderId="4" applyNumberFormat="1" applyFont="1" applyFill="1" applyBorder="1" applyAlignment="1" applyProtection="0">
      <alignment vertical="bottom"/>
    </xf>
    <xf numFmtId="49" fontId="15" fillId="5" borderId="4" applyNumberFormat="1" applyFont="1" applyFill="1" applyBorder="1" applyAlignment="1" applyProtection="0">
      <alignment vertical="bottom"/>
    </xf>
    <xf numFmtId="49" fontId="11" fillId="7" borderId="4" applyNumberFormat="1" applyFont="1" applyFill="1" applyBorder="1" applyAlignment="1" applyProtection="0">
      <alignment vertical="bottom"/>
    </xf>
    <xf numFmtId="49" fontId="7" fillId="7" borderId="4" applyNumberFormat="1" applyFont="1" applyFill="1" applyBorder="1" applyAlignment="1" applyProtection="0">
      <alignment vertical="bottom"/>
    </xf>
    <xf numFmtId="49" fontId="15" fillId="7" borderId="4" applyNumberFormat="1" applyFont="1" applyFill="1" applyBorder="1" applyAlignment="1" applyProtection="0">
      <alignment vertical="bottom"/>
    </xf>
    <xf numFmtId="60" fontId="8" fillId="7" borderId="4" applyNumberFormat="1" applyFont="1" applyFill="1" applyBorder="1" applyAlignment="1" applyProtection="0">
      <alignment vertical="bottom"/>
    </xf>
    <xf numFmtId="59" fontId="8" fillId="7" borderId="4" applyNumberFormat="1" applyFont="1" applyFill="1" applyBorder="1" applyAlignment="1" applyProtection="0">
      <alignment vertical="bottom"/>
    </xf>
    <xf numFmtId="9" fontId="8" fillId="7" borderId="4" applyNumberFormat="1" applyFont="1" applyFill="1" applyBorder="1" applyAlignment="1" applyProtection="0">
      <alignment vertical="bottom"/>
    </xf>
    <xf numFmtId="60" fontId="10" fillId="7" borderId="4" applyNumberFormat="1" applyFont="1" applyFill="1" applyBorder="1" applyAlignment="1" applyProtection="0">
      <alignment vertical="bottom"/>
    </xf>
    <xf numFmtId="60" fontId="14" fillId="7" borderId="4" applyNumberFormat="1" applyFont="1" applyFill="1" applyBorder="1" applyAlignment="1" applyProtection="0">
      <alignment vertical="bottom"/>
    </xf>
    <xf numFmtId="59" fontId="10" fillId="7" borderId="4" applyNumberFormat="1" applyFont="1" applyFill="1" applyBorder="1" applyAlignment="1" applyProtection="0">
      <alignment vertical="bottom"/>
    </xf>
    <xf numFmtId="49" fontId="9" fillId="7" borderId="4" applyNumberFormat="1" applyFont="1" applyFill="1" applyBorder="1" applyAlignment="1" applyProtection="0">
      <alignment vertical="bottom"/>
    </xf>
    <xf numFmtId="49" fontId="11" fillId="8" borderId="4" applyNumberFormat="1" applyFont="1" applyFill="1" applyBorder="1" applyAlignment="1" applyProtection="0">
      <alignment vertical="bottom"/>
    </xf>
    <xf numFmtId="49" fontId="7" fillId="8" borderId="4" applyNumberFormat="1" applyFont="1" applyFill="1" applyBorder="1" applyAlignment="1" applyProtection="0">
      <alignment vertical="bottom"/>
    </xf>
    <xf numFmtId="3" fontId="10" fillId="8" borderId="4" applyNumberFormat="1" applyFont="1" applyFill="1" applyBorder="1" applyAlignment="1" applyProtection="0">
      <alignment vertical="bottom"/>
    </xf>
    <xf numFmtId="60" fontId="8" fillId="8" borderId="4" applyNumberFormat="1" applyFont="1" applyFill="1" applyBorder="1" applyAlignment="1" applyProtection="0">
      <alignment vertical="bottom"/>
    </xf>
    <xf numFmtId="59" fontId="8" fillId="8" borderId="4" applyNumberFormat="1" applyFont="1" applyFill="1" applyBorder="1" applyAlignment="1" applyProtection="0">
      <alignment vertical="bottom"/>
    </xf>
    <xf numFmtId="9" fontId="8" fillId="8" borderId="4" applyNumberFormat="1" applyFont="1" applyFill="1" applyBorder="1" applyAlignment="1" applyProtection="0">
      <alignment vertical="bottom"/>
    </xf>
    <xf numFmtId="60" fontId="10" fillId="8" borderId="4" applyNumberFormat="1" applyFont="1" applyFill="1" applyBorder="1" applyAlignment="1" applyProtection="0">
      <alignment vertical="bottom"/>
    </xf>
    <xf numFmtId="60" fontId="14" fillId="8" borderId="4" applyNumberFormat="1" applyFont="1" applyFill="1" applyBorder="1" applyAlignment="1" applyProtection="0">
      <alignment vertical="bottom"/>
    </xf>
    <xf numFmtId="59" fontId="10" fillId="8" borderId="4" applyNumberFormat="1" applyFont="1" applyFill="1" applyBorder="1" applyAlignment="1" applyProtection="0">
      <alignment vertical="bottom"/>
    </xf>
    <xf numFmtId="49" fontId="9" fillId="8" borderId="4" applyNumberFormat="1" applyFont="1" applyFill="1" applyBorder="1" applyAlignment="1" applyProtection="0">
      <alignment vertical="bottom"/>
    </xf>
    <xf numFmtId="61" fontId="10" fillId="8" borderId="4" applyNumberFormat="1" applyFont="1" applyFill="1" applyBorder="1" applyAlignment="1" applyProtection="0">
      <alignment vertical="bottom"/>
    </xf>
    <xf numFmtId="49" fontId="15" fillId="8" borderId="4" applyNumberFormat="1" applyFont="1" applyFill="1" applyBorder="1" applyAlignment="1" applyProtection="0">
      <alignment vertical="bottom"/>
    </xf>
    <xf numFmtId="49" fontId="11" fillId="9" borderId="4" applyNumberFormat="1" applyFont="1" applyFill="1" applyBorder="1" applyAlignment="1" applyProtection="0">
      <alignment vertical="bottom"/>
    </xf>
    <xf numFmtId="49" fontId="10" fillId="9" borderId="4" applyNumberFormat="1" applyFont="1" applyFill="1" applyBorder="1" applyAlignment="1" applyProtection="0">
      <alignment vertical="bottom"/>
    </xf>
    <xf numFmtId="3" fontId="10" fillId="9" borderId="4" applyNumberFormat="1" applyFont="1" applyFill="1" applyBorder="1" applyAlignment="1" applyProtection="0">
      <alignment vertical="bottom"/>
    </xf>
    <xf numFmtId="60" fontId="8" fillId="9" borderId="4" applyNumberFormat="1" applyFont="1" applyFill="1" applyBorder="1" applyAlignment="1" applyProtection="0">
      <alignment vertical="bottom"/>
    </xf>
    <xf numFmtId="59" fontId="8" fillId="9" borderId="4" applyNumberFormat="1" applyFont="1" applyFill="1" applyBorder="1" applyAlignment="1" applyProtection="0">
      <alignment vertical="bottom"/>
    </xf>
    <xf numFmtId="9" fontId="8" fillId="9" borderId="4" applyNumberFormat="1" applyFont="1" applyFill="1" applyBorder="1" applyAlignment="1" applyProtection="0">
      <alignment vertical="bottom"/>
    </xf>
    <xf numFmtId="60" fontId="10" fillId="9" borderId="4" applyNumberFormat="1" applyFont="1" applyFill="1" applyBorder="1" applyAlignment="1" applyProtection="0">
      <alignment vertical="bottom"/>
    </xf>
    <xf numFmtId="60" fontId="14" fillId="9" borderId="4" applyNumberFormat="1" applyFont="1" applyFill="1" applyBorder="1" applyAlignment="1" applyProtection="0">
      <alignment vertical="bottom"/>
    </xf>
    <xf numFmtId="59" fontId="10" fillId="9" borderId="4" applyNumberFormat="1" applyFont="1" applyFill="1" applyBorder="1" applyAlignment="1" applyProtection="0">
      <alignment vertical="bottom"/>
    </xf>
    <xf numFmtId="61" fontId="10" fillId="9" borderId="4" applyNumberFormat="1" applyFont="1" applyFill="1" applyBorder="1" applyAlignment="1" applyProtection="0">
      <alignment vertical="bottom"/>
    </xf>
    <xf numFmtId="49" fontId="15" fillId="9" borderId="4" applyNumberFormat="1" applyFont="1" applyFill="1" applyBorder="1" applyAlignment="1" applyProtection="0">
      <alignment vertical="bottom"/>
    </xf>
    <xf numFmtId="49" fontId="11" fillId="10" borderId="4" applyNumberFormat="1" applyFont="1" applyFill="1" applyBorder="1" applyAlignment="1" applyProtection="0">
      <alignment vertical="bottom"/>
    </xf>
    <xf numFmtId="49" fontId="7" fillId="10" borderId="4" applyNumberFormat="1" applyFont="1" applyFill="1" applyBorder="1" applyAlignment="1" applyProtection="0">
      <alignment vertical="bottom"/>
    </xf>
    <xf numFmtId="3" fontId="10" fillId="10" borderId="4" applyNumberFormat="1" applyFont="1" applyFill="1" applyBorder="1" applyAlignment="1" applyProtection="0">
      <alignment vertical="bottom"/>
    </xf>
    <xf numFmtId="60" fontId="8" fillId="10" borderId="4" applyNumberFormat="1" applyFont="1" applyFill="1" applyBorder="1" applyAlignment="1" applyProtection="0">
      <alignment vertical="bottom"/>
    </xf>
    <xf numFmtId="59" fontId="8" fillId="10" borderId="4" applyNumberFormat="1" applyFont="1" applyFill="1" applyBorder="1" applyAlignment="1" applyProtection="0">
      <alignment vertical="bottom"/>
    </xf>
    <xf numFmtId="9" fontId="8" fillId="10" borderId="4" applyNumberFormat="1" applyFont="1" applyFill="1" applyBorder="1" applyAlignment="1" applyProtection="0">
      <alignment vertical="bottom"/>
    </xf>
    <xf numFmtId="60" fontId="10" fillId="10" borderId="4" applyNumberFormat="1" applyFont="1" applyFill="1" applyBorder="1" applyAlignment="1" applyProtection="0">
      <alignment vertical="bottom"/>
    </xf>
    <xf numFmtId="60" fontId="14" fillId="10" borderId="4" applyNumberFormat="1" applyFont="1" applyFill="1" applyBorder="1" applyAlignment="1" applyProtection="0">
      <alignment vertical="bottom"/>
    </xf>
    <xf numFmtId="59" fontId="10" fillId="10" borderId="4" applyNumberFormat="1" applyFont="1" applyFill="1" applyBorder="1" applyAlignment="1" applyProtection="0">
      <alignment vertical="bottom"/>
    </xf>
    <xf numFmtId="49" fontId="9" fillId="10" borderId="4" applyNumberFormat="1" applyFont="1" applyFill="1" applyBorder="1" applyAlignment="1" applyProtection="0">
      <alignment vertical="bottom"/>
    </xf>
    <xf numFmtId="61" fontId="10" fillId="10" borderId="4" applyNumberFormat="1" applyFont="1" applyFill="1" applyBorder="1" applyAlignment="1" applyProtection="0">
      <alignment vertical="bottom"/>
    </xf>
    <xf numFmtId="49" fontId="15" fillId="10" borderId="4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10" fillId="2" borderId="3" applyNumberFormat="1" applyFont="1" applyFill="1" applyBorder="1" applyAlignment="1" applyProtection="0">
      <alignment vertical="bottom"/>
    </xf>
    <xf numFmtId="1" fontId="8" fillId="3" borderId="4" applyNumberFormat="1" applyFont="1" applyFill="1" applyBorder="1" applyAlignment="1" applyProtection="0">
      <alignment vertical="bottom"/>
    </xf>
    <xf numFmtId="49" fontId="7" fillId="2" borderId="8" applyNumberFormat="1" applyFont="1" applyFill="1" applyBorder="1" applyAlignment="1" applyProtection="0">
      <alignment vertical="bottom"/>
    </xf>
    <xf numFmtId="49" fontId="9" fillId="2" borderId="9" applyNumberFormat="1" applyFont="1" applyFill="1" applyBorder="1" applyAlignment="1" applyProtection="0">
      <alignment vertical="bottom"/>
    </xf>
    <xf numFmtId="49" fontId="10" fillId="11" borderId="4" applyNumberFormat="1" applyFont="1" applyFill="1" applyBorder="1" applyAlignment="1" applyProtection="0">
      <alignment vertical="bottom"/>
    </xf>
    <xf numFmtId="49" fontId="7" fillId="11" borderId="4" applyNumberFormat="1" applyFont="1" applyFill="1" applyBorder="1" applyAlignment="1" applyProtection="0">
      <alignment vertical="bottom"/>
    </xf>
    <xf numFmtId="49" fontId="13" fillId="12" borderId="4" applyNumberFormat="1" applyFont="1" applyFill="1" applyBorder="1" applyAlignment="1" applyProtection="0">
      <alignment vertical="bottom"/>
    </xf>
    <xf numFmtId="49" fontId="11" fillId="11" borderId="4" applyNumberFormat="1" applyFont="1" applyFill="1" applyBorder="1" applyAlignment="1" applyProtection="0">
      <alignment vertical="bottom"/>
    </xf>
    <xf numFmtId="3" fontId="8" fillId="11" borderId="4" applyNumberFormat="1" applyFont="1" applyFill="1" applyBorder="1" applyAlignment="1" applyProtection="0">
      <alignment vertical="bottom"/>
    </xf>
    <xf numFmtId="49" fontId="8" fillId="11" borderId="4" applyNumberFormat="1" applyFont="1" applyFill="1" applyBorder="1" applyAlignment="1" applyProtection="0">
      <alignment vertical="bottom"/>
    </xf>
    <xf numFmtId="3" fontId="10" fillId="11" borderId="4" applyNumberFormat="1" applyFont="1" applyFill="1" applyBorder="1" applyAlignment="1" applyProtection="0">
      <alignment vertical="bottom"/>
    </xf>
    <xf numFmtId="60" fontId="10" fillId="11" borderId="4" applyNumberFormat="1" applyFont="1" applyFill="1" applyBorder="1" applyAlignment="1" applyProtection="0">
      <alignment vertical="bottom"/>
    </xf>
    <xf numFmtId="60" fontId="14" fillId="11" borderId="4" applyNumberFormat="1" applyFont="1" applyFill="1" applyBorder="1" applyAlignment="1" applyProtection="0">
      <alignment vertical="bottom"/>
    </xf>
    <xf numFmtId="60" fontId="8" fillId="11" borderId="4" applyNumberFormat="1" applyFont="1" applyFill="1" applyBorder="1" applyAlignment="1" applyProtection="0">
      <alignment vertical="bottom"/>
    </xf>
    <xf numFmtId="1" fontId="7" fillId="11" borderId="4" applyNumberFormat="1" applyFont="1" applyFill="1" applyBorder="1" applyAlignment="1" applyProtection="0">
      <alignment vertical="bottom"/>
    </xf>
    <xf numFmtId="49" fontId="13" fillId="13" borderId="4" applyNumberFormat="1" applyFont="1" applyFill="1" applyBorder="1" applyAlignment="1" applyProtection="0">
      <alignment vertical="bottom"/>
    </xf>
    <xf numFmtId="1" fontId="11" fillId="11" borderId="4" applyNumberFormat="1" applyFont="1" applyFill="1" applyBorder="1" applyAlignment="1" applyProtection="0">
      <alignment vertical="bottom"/>
    </xf>
    <xf numFmtId="49" fontId="10" fillId="14" borderId="4" applyNumberFormat="1" applyFont="1" applyFill="1" applyBorder="1" applyAlignment="1" applyProtection="0">
      <alignment vertical="bottom"/>
    </xf>
    <xf numFmtId="49" fontId="7" fillId="14" borderId="4" applyNumberFormat="1" applyFont="1" applyFill="1" applyBorder="1" applyAlignment="1" applyProtection="0">
      <alignment vertical="bottom"/>
    </xf>
    <xf numFmtId="49" fontId="9" fillId="15" borderId="4" applyNumberFormat="1" applyFont="1" applyFill="1" applyBorder="1" applyAlignment="1" applyProtection="0">
      <alignment vertical="bottom"/>
    </xf>
    <xf numFmtId="49" fontId="11" fillId="14" borderId="4" applyNumberFormat="1" applyFont="1" applyFill="1" applyBorder="1" applyAlignment="1" applyProtection="0">
      <alignment vertical="bottom"/>
    </xf>
    <xf numFmtId="3" fontId="8" fillId="14" borderId="4" applyNumberFormat="1" applyFont="1" applyFill="1" applyBorder="1" applyAlignment="1" applyProtection="0">
      <alignment vertical="bottom"/>
    </xf>
    <xf numFmtId="49" fontId="8" fillId="14" borderId="4" applyNumberFormat="1" applyFont="1" applyFill="1" applyBorder="1" applyAlignment="1" applyProtection="0">
      <alignment vertical="bottom"/>
    </xf>
    <xf numFmtId="3" fontId="10" fillId="14" borderId="4" applyNumberFormat="1" applyFont="1" applyFill="1" applyBorder="1" applyAlignment="1" applyProtection="0">
      <alignment vertical="bottom"/>
    </xf>
    <xf numFmtId="60" fontId="10" fillId="14" borderId="4" applyNumberFormat="1" applyFont="1" applyFill="1" applyBorder="1" applyAlignment="1" applyProtection="0">
      <alignment vertical="bottom"/>
    </xf>
    <xf numFmtId="60" fontId="14" fillId="14" borderId="4" applyNumberFormat="1" applyFont="1" applyFill="1" applyBorder="1" applyAlignment="1" applyProtection="0">
      <alignment vertical="bottom"/>
    </xf>
    <xf numFmtId="60" fontId="8" fillId="14" borderId="4" applyNumberFormat="1" applyFont="1" applyFill="1" applyBorder="1" applyAlignment="1" applyProtection="0">
      <alignment vertical="bottom"/>
    </xf>
    <xf numFmtId="1" fontId="7" fillId="14" borderId="4" applyNumberFormat="1" applyFont="1" applyFill="1" applyBorder="1" applyAlignment="1" applyProtection="0">
      <alignment vertical="bottom"/>
    </xf>
    <xf numFmtId="49" fontId="13" fillId="16" borderId="4" applyNumberFormat="1" applyFont="1" applyFill="1" applyBorder="1" applyAlignment="1" applyProtection="0">
      <alignment vertical="bottom"/>
    </xf>
    <xf numFmtId="1" fontId="11" fillId="14" borderId="4" applyNumberFormat="1" applyFont="1" applyFill="1" applyBorder="1" applyAlignment="1" applyProtection="0">
      <alignment vertical="bottom"/>
    </xf>
    <xf numFmtId="49" fontId="9" fillId="2" borderId="4" applyNumberFormat="1" applyFont="1" applyFill="1" applyBorder="1" applyAlignment="1" applyProtection="0">
      <alignment vertical="bottom"/>
    </xf>
    <xf numFmtId="49" fontId="9" fillId="17" borderId="4" applyNumberFormat="1" applyFont="1" applyFill="1" applyBorder="1" applyAlignment="1" applyProtection="0">
      <alignment vertical="bottom"/>
    </xf>
    <xf numFmtId="49" fontId="16" fillId="11" borderId="4" applyNumberFormat="1" applyFont="1" applyFill="1" applyBorder="1" applyAlignment="1" applyProtection="0">
      <alignment vertical="bottom"/>
    </xf>
    <xf numFmtId="49" fontId="16" fillId="14" borderId="4" applyNumberFormat="1" applyFont="1" applyFill="1" applyBorder="1" applyAlignment="1" applyProtection="0">
      <alignment vertical="bottom"/>
    </xf>
    <xf numFmtId="49" fontId="7" fillId="18" borderId="4" applyNumberFormat="1" applyFont="1" applyFill="1" applyBorder="1" applyAlignment="1" applyProtection="0">
      <alignment vertical="bottom"/>
    </xf>
    <xf numFmtId="1" fontId="0" fillId="18" borderId="4" applyNumberFormat="1" applyFont="1" applyFill="1" applyBorder="1" applyAlignment="1" applyProtection="0">
      <alignment vertical="bottom"/>
    </xf>
    <xf numFmtId="3" fontId="10" fillId="18" borderId="4" applyNumberFormat="1" applyFont="1" applyFill="1" applyBorder="1" applyAlignment="1" applyProtection="0">
      <alignment vertical="bottom"/>
    </xf>
    <xf numFmtId="60" fontId="10" fillId="18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7" fillId="4" borderId="4" applyNumberFormat="1" applyFont="1" applyFill="1" applyBorder="1" applyAlignment="1" applyProtection="0">
      <alignment horizontal="center" vertical="center"/>
    </xf>
    <xf numFmtId="1" fontId="0" fillId="2" borderId="4" applyNumberFormat="1" applyFont="1" applyFill="1" applyBorder="1" applyAlignment="1" applyProtection="0">
      <alignment vertical="center"/>
    </xf>
    <xf numFmtId="49" fontId="10" fillId="2" borderId="4" applyNumberFormat="1" applyFont="1" applyFill="1" applyBorder="1" applyAlignment="1" applyProtection="0">
      <alignment vertical="center"/>
    </xf>
    <xf numFmtId="49" fontId="7" fillId="2" borderId="4" applyNumberFormat="1" applyFont="1" applyFill="1" applyBorder="1" applyAlignment="1" applyProtection="0">
      <alignment vertical="center"/>
    </xf>
    <xf numFmtId="49" fontId="11" fillId="2" borderId="4" applyNumberFormat="1" applyFont="1" applyFill="1" applyBorder="1" applyAlignment="1" applyProtection="0">
      <alignment vertical="center"/>
    </xf>
    <xf numFmtId="3" fontId="10" fillId="2" borderId="4" applyNumberFormat="1" applyFont="1" applyFill="1" applyBorder="1" applyAlignment="1" applyProtection="0">
      <alignment vertical="center"/>
    </xf>
    <xf numFmtId="60" fontId="14" fillId="2" borderId="4" applyNumberFormat="1" applyFont="1" applyFill="1" applyBorder="1" applyAlignment="1" applyProtection="0">
      <alignment vertical="center"/>
    </xf>
    <xf numFmtId="1" fontId="0" fillId="19" borderId="4" applyNumberFormat="1" applyFont="1" applyFill="1" applyBorder="1" applyAlignment="1" applyProtection="0">
      <alignment vertical="center"/>
    </xf>
    <xf numFmtId="49" fontId="10" fillId="19" borderId="4" applyNumberFormat="1" applyFont="1" applyFill="1" applyBorder="1" applyAlignment="1" applyProtection="0">
      <alignment vertical="center"/>
    </xf>
    <xf numFmtId="49" fontId="7" fillId="19" borderId="4" applyNumberFormat="1" applyFont="1" applyFill="1" applyBorder="1" applyAlignment="1" applyProtection="0">
      <alignment vertical="center"/>
    </xf>
    <xf numFmtId="49" fontId="11" fillId="19" borderId="4" applyNumberFormat="1" applyFont="1" applyFill="1" applyBorder="1" applyAlignment="1" applyProtection="0">
      <alignment vertical="center"/>
    </xf>
    <xf numFmtId="3" fontId="10" fillId="19" borderId="4" applyNumberFormat="1" applyFont="1" applyFill="1" applyBorder="1" applyAlignment="1" applyProtection="0">
      <alignment vertical="center"/>
    </xf>
    <xf numFmtId="60" fontId="14" fillId="19" borderId="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9" fillId="2" borderId="5" applyNumberFormat="1" applyFont="1" applyFill="1" applyBorder="1" applyAlignment="1" applyProtection="0">
      <alignment vertical="bottom"/>
    </xf>
    <xf numFmtId="49" fontId="7" fillId="2" borderId="4" applyNumberFormat="1" applyFont="1" applyFill="1" applyBorder="1" applyAlignment="1" applyProtection="0">
      <alignment vertical="bottom"/>
    </xf>
    <xf numFmtId="49" fontId="10" fillId="2" borderId="4" applyNumberFormat="1" applyFont="1" applyFill="1" applyBorder="1" applyAlignment="1" applyProtection="0">
      <alignment vertical="bottom"/>
    </xf>
    <xf numFmtId="3" fontId="8" fillId="2" borderId="4" applyNumberFormat="1" applyFont="1" applyFill="1" applyBorder="1" applyAlignment="1" applyProtection="0">
      <alignment vertical="bottom"/>
    </xf>
    <xf numFmtId="49" fontId="8" fillId="2" borderId="4" applyNumberFormat="1" applyFont="1" applyFill="1" applyBorder="1" applyAlignment="1" applyProtection="0">
      <alignment vertical="bottom"/>
    </xf>
    <xf numFmtId="62" fontId="8" fillId="2" borderId="4" applyNumberFormat="1" applyFont="1" applyFill="1" applyBorder="1" applyAlignment="1" applyProtection="0">
      <alignment vertical="bottom"/>
    </xf>
    <xf numFmtId="3" fontId="10" fillId="2" borderId="4" applyNumberFormat="1" applyFont="1" applyFill="1" applyBorder="1" applyAlignment="1" applyProtection="0">
      <alignment vertical="bottom"/>
    </xf>
    <xf numFmtId="60" fontId="10" fillId="2" borderId="4" applyNumberFormat="1" applyFont="1" applyFill="1" applyBorder="1" applyAlignment="1" applyProtection="0">
      <alignment vertical="bottom"/>
    </xf>
    <xf numFmtId="60" fontId="14" fillId="2" borderId="4" applyNumberFormat="1" applyFont="1" applyFill="1" applyBorder="1" applyAlignment="1" applyProtection="0">
      <alignment vertical="bottom"/>
    </xf>
    <xf numFmtId="61" fontId="10" fillId="2" borderId="4" applyNumberFormat="1" applyFont="1" applyFill="1" applyBorder="1" applyAlignment="1" applyProtection="0">
      <alignment vertical="bottom"/>
    </xf>
    <xf numFmtId="49" fontId="7" fillId="19" borderId="4" applyNumberFormat="1" applyFont="1" applyFill="1" applyBorder="1" applyAlignment="1" applyProtection="0">
      <alignment vertical="bottom"/>
    </xf>
    <xf numFmtId="49" fontId="10" fillId="19" borderId="4" applyNumberFormat="1" applyFont="1" applyFill="1" applyBorder="1" applyAlignment="1" applyProtection="0">
      <alignment vertical="bottom"/>
    </xf>
    <xf numFmtId="3" fontId="8" fillId="19" borderId="4" applyNumberFormat="1" applyFont="1" applyFill="1" applyBorder="1" applyAlignment="1" applyProtection="0">
      <alignment vertical="bottom"/>
    </xf>
    <xf numFmtId="49" fontId="8" fillId="19" borderId="4" applyNumberFormat="1" applyFont="1" applyFill="1" applyBorder="1" applyAlignment="1" applyProtection="0">
      <alignment vertical="bottom"/>
    </xf>
    <xf numFmtId="62" fontId="8" fillId="19" borderId="4" applyNumberFormat="1" applyFont="1" applyFill="1" applyBorder="1" applyAlignment="1" applyProtection="0">
      <alignment vertical="bottom"/>
    </xf>
    <xf numFmtId="3" fontId="10" fillId="19" borderId="4" applyNumberFormat="1" applyFont="1" applyFill="1" applyBorder="1" applyAlignment="1" applyProtection="0">
      <alignment vertical="bottom"/>
    </xf>
    <xf numFmtId="60" fontId="10" fillId="19" borderId="4" applyNumberFormat="1" applyFont="1" applyFill="1" applyBorder="1" applyAlignment="1" applyProtection="0">
      <alignment vertical="bottom"/>
    </xf>
    <xf numFmtId="60" fontId="14" fillId="19" borderId="4" applyNumberFormat="1" applyFont="1" applyFill="1" applyBorder="1" applyAlignment="1" applyProtection="0">
      <alignment vertical="bottom"/>
    </xf>
    <xf numFmtId="49" fontId="16" fillId="19" borderId="4" applyNumberFormat="1" applyFont="1" applyFill="1" applyBorder="1" applyAlignment="1" applyProtection="0">
      <alignment vertical="bottom"/>
    </xf>
    <xf numFmtId="61" fontId="10" fillId="19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11" fillId="2" borderId="4" applyNumberFormat="1" applyFont="1" applyFill="1" applyBorder="1" applyAlignment="1" applyProtection="0">
      <alignment vertical="bottom"/>
    </xf>
    <xf numFmtId="60" fontId="10" borderId="4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7" fillId="2" borderId="4" applyNumberFormat="1" applyFont="1" applyFill="1" applyBorder="1" applyAlignment="1" applyProtection="0">
      <alignment vertical="bottom"/>
    </xf>
    <xf numFmtId="1" fontId="7" fillId="19" borderId="4" applyNumberFormat="1" applyFont="1" applyFill="1" applyBorder="1" applyAlignment="1" applyProtection="0">
      <alignment vertical="bottom"/>
    </xf>
    <xf numFmtId="49" fontId="9" fillId="19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8" fillId="4" borderId="4" applyNumberFormat="1" applyFont="1" applyFill="1" applyBorder="1" applyAlignment="1" applyProtection="0">
      <alignment horizontal="center" vertical="center"/>
    </xf>
    <xf numFmtId="1" fontId="10" fillId="2" borderId="4" applyNumberFormat="1" applyFont="1" applyFill="1" applyBorder="1" applyAlignment="1" applyProtection="0">
      <alignment vertical="center"/>
    </xf>
    <xf numFmtId="62" fontId="10" fillId="2" borderId="4" applyNumberFormat="1" applyFont="1" applyFill="1" applyBorder="1" applyAlignment="1" applyProtection="0">
      <alignment vertical="center"/>
    </xf>
    <xf numFmtId="1" fontId="10" fillId="19" borderId="4" applyNumberFormat="1" applyFont="1" applyFill="1" applyBorder="1" applyAlignment="1" applyProtection="0">
      <alignment vertical="center"/>
    </xf>
    <xf numFmtId="62" fontId="10" fillId="19" borderId="4" applyNumberFormat="1" applyFont="1" applyFill="1" applyBorder="1" applyAlignment="1" applyProtection="0">
      <alignment vertical="center"/>
    </xf>
    <xf numFmtId="49" fontId="19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8" fillId="2" borderId="4" applyNumberFormat="1" applyFont="1" applyFill="1" applyBorder="1" applyAlignment="1" applyProtection="0">
      <alignment vertical="bottom"/>
    </xf>
    <xf numFmtId="59" fontId="8" fillId="19" borderId="4" applyNumberFormat="1" applyFont="1" applyFill="1" applyBorder="1" applyAlignment="1" applyProtection="0">
      <alignment vertical="bottom"/>
    </xf>
    <xf numFmtId="49" fontId="15" fillId="19" borderId="4" applyNumberFormat="1" applyFont="1" applyFill="1" applyBorder="1" applyAlignment="1" applyProtection="0">
      <alignment vertical="bottom"/>
    </xf>
    <xf numFmtId="49" fontId="15" fillId="2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2937"/>
      <rgbColor rgb="ffffffff"/>
      <rgbColor rgb="ffaaaaaa"/>
      <rgbColor rgb="ff6b655a"/>
      <rgbColor rgb="ffcfc7b6"/>
      <rgbColor rgb="ff0000cc"/>
      <rgbColor rgb="fffff6cc"/>
      <rgbColor rgb="ff45583e"/>
      <rgbColor rgb="ffefefe6"/>
      <rgbColor rgb="fffefcdd"/>
      <rgbColor rgb="ff9e978c"/>
      <rgbColor rgb="ffe8eee0"/>
      <rgbColor rgb="ffe6eaf0"/>
      <rgbColor rgb="fff0eae6"/>
      <rgbColor rgb="ffede8f2"/>
      <rgbColor rgb="fff7f4ec"/>
      <rgbColor rgb="ffb07b47"/>
      <rgbColor rgb="ff4a352a"/>
      <rgbColor rgb="ffece7db"/>
      <rgbColor rgb="ffd9c7a3"/>
      <rgbColor rgb="ff7a5a43"/>
      <rgbColor rgb="fff3eee0"/>
      <rgbColor rgb="ffe3e8dc"/>
      <rgbColor rgb="fff2ef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</xdr:row>
      <xdr:rowOff>87839</xdr:rowOff>
    </xdr:from>
    <xdr:to>
      <xdr:col>0</xdr:col>
      <xdr:colOff>1904760</xdr:colOff>
      <xdr:row>3</xdr:row>
      <xdr:rowOff>1354320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571709"/>
          <a:ext cx="1904761" cy="14569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</xdr:row>
      <xdr:rowOff>1392480</xdr:rowOff>
    </xdr:from>
    <xdr:to>
      <xdr:col>0</xdr:col>
      <xdr:colOff>1275840</xdr:colOff>
      <xdr:row>4</xdr:row>
      <xdr:rowOff>1420560</xdr:rowOff>
    </xdr:to>
    <xdr:pic>
      <xdr:nvPicPr>
        <xdr:cNvPr id="3" name="Image 2" descr="Imag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2066850"/>
          <a:ext cx="127584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4</xdr:row>
      <xdr:rowOff>1392480</xdr:rowOff>
    </xdr:from>
    <xdr:to>
      <xdr:col>0</xdr:col>
      <xdr:colOff>1333080</xdr:colOff>
      <xdr:row>5</xdr:row>
      <xdr:rowOff>1420560</xdr:rowOff>
    </xdr:to>
    <xdr:pic>
      <xdr:nvPicPr>
        <xdr:cNvPr id="4" name="Image 3" descr="Imag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3562275"/>
          <a:ext cx="133308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5</xdr:row>
      <xdr:rowOff>1392480</xdr:rowOff>
    </xdr:from>
    <xdr:to>
      <xdr:col>0</xdr:col>
      <xdr:colOff>837720</xdr:colOff>
      <xdr:row>6</xdr:row>
      <xdr:rowOff>1420560</xdr:rowOff>
    </xdr:to>
    <xdr:pic>
      <xdr:nvPicPr>
        <xdr:cNvPr id="5" name="Image 4" descr="Imag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0" y="5057700"/>
          <a:ext cx="83772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6</xdr:row>
      <xdr:rowOff>1392479</xdr:rowOff>
    </xdr:from>
    <xdr:to>
      <xdr:col>0</xdr:col>
      <xdr:colOff>1590480</xdr:colOff>
      <xdr:row>7</xdr:row>
      <xdr:rowOff>1420559</xdr:rowOff>
    </xdr:to>
    <xdr:pic>
      <xdr:nvPicPr>
        <xdr:cNvPr id="6" name="Image 5" descr="Imag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0" y="6553124"/>
          <a:ext cx="159048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7</xdr:row>
      <xdr:rowOff>1392479</xdr:rowOff>
    </xdr:from>
    <xdr:to>
      <xdr:col>0</xdr:col>
      <xdr:colOff>1190160</xdr:colOff>
      <xdr:row>8</xdr:row>
      <xdr:rowOff>1420559</xdr:rowOff>
    </xdr:to>
    <xdr:pic>
      <xdr:nvPicPr>
        <xdr:cNvPr id="7" name="Image 6" descr="Imag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0" y="8048549"/>
          <a:ext cx="1190161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8</xdr:row>
      <xdr:rowOff>1392479</xdr:rowOff>
    </xdr:from>
    <xdr:to>
      <xdr:col>0</xdr:col>
      <xdr:colOff>1323720</xdr:colOff>
      <xdr:row>9</xdr:row>
      <xdr:rowOff>1420559</xdr:rowOff>
    </xdr:to>
    <xdr:pic>
      <xdr:nvPicPr>
        <xdr:cNvPr id="8" name="Image 7" descr="Imag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0" y="9543974"/>
          <a:ext cx="132372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9</xdr:row>
      <xdr:rowOff>1392479</xdr:rowOff>
    </xdr:from>
    <xdr:to>
      <xdr:col>0</xdr:col>
      <xdr:colOff>1371240</xdr:colOff>
      <xdr:row>10</xdr:row>
      <xdr:rowOff>1420559</xdr:rowOff>
    </xdr:to>
    <xdr:pic>
      <xdr:nvPicPr>
        <xdr:cNvPr id="9" name="Image 8" descr="Imag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0" y="11039399"/>
          <a:ext cx="1371241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10</xdr:row>
      <xdr:rowOff>1392479</xdr:rowOff>
    </xdr:from>
    <xdr:to>
      <xdr:col>0</xdr:col>
      <xdr:colOff>1095120</xdr:colOff>
      <xdr:row>11</xdr:row>
      <xdr:rowOff>1420559</xdr:rowOff>
    </xdr:to>
    <xdr:pic>
      <xdr:nvPicPr>
        <xdr:cNvPr id="10" name="Image 9" descr="Imag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0" y="12534824"/>
          <a:ext cx="1095120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11</xdr:row>
      <xdr:rowOff>1392479</xdr:rowOff>
    </xdr:from>
    <xdr:to>
      <xdr:col>0</xdr:col>
      <xdr:colOff>847440</xdr:colOff>
      <xdr:row>12</xdr:row>
      <xdr:rowOff>1420559</xdr:rowOff>
    </xdr:to>
    <xdr:pic>
      <xdr:nvPicPr>
        <xdr:cNvPr id="11" name="Image 10" descr="Imag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0" y="14030249"/>
          <a:ext cx="847441" cy="15235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87839</xdr:rowOff>
    </xdr:from>
    <xdr:to>
      <xdr:col>0</xdr:col>
      <xdr:colOff>1342800</xdr:colOff>
      <xdr:row>4</xdr:row>
      <xdr:rowOff>1420920</xdr:rowOff>
    </xdr:to>
    <xdr:pic>
      <xdr:nvPicPr>
        <xdr:cNvPr id="13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762209"/>
          <a:ext cx="1342801" cy="1523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4</xdr:row>
      <xdr:rowOff>1364040</xdr:rowOff>
    </xdr:from>
    <xdr:to>
      <xdr:col>0</xdr:col>
      <xdr:colOff>1342800</xdr:colOff>
      <xdr:row>5</xdr:row>
      <xdr:rowOff>1420560</xdr:rowOff>
    </xdr:to>
    <xdr:pic>
      <xdr:nvPicPr>
        <xdr:cNvPr id="14" name="Image 2" descr="Imag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2228910"/>
          <a:ext cx="1342801" cy="15233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5</xdr:row>
      <xdr:rowOff>1364040</xdr:rowOff>
    </xdr:from>
    <xdr:to>
      <xdr:col>0</xdr:col>
      <xdr:colOff>1285560</xdr:colOff>
      <xdr:row>6</xdr:row>
      <xdr:rowOff>1420560</xdr:rowOff>
    </xdr:to>
    <xdr:pic>
      <xdr:nvPicPr>
        <xdr:cNvPr id="15" name="Image 3" descr="Imag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3695760"/>
          <a:ext cx="1285560" cy="15233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6</xdr:row>
      <xdr:rowOff>1363680</xdr:rowOff>
    </xdr:from>
    <xdr:to>
      <xdr:col>0</xdr:col>
      <xdr:colOff>1352160</xdr:colOff>
      <xdr:row>7</xdr:row>
      <xdr:rowOff>1420560</xdr:rowOff>
    </xdr:to>
    <xdr:pic>
      <xdr:nvPicPr>
        <xdr:cNvPr id="16" name="Image 4" descr="Imag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0" y="5162250"/>
          <a:ext cx="1352161" cy="15237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7</xdr:row>
      <xdr:rowOff>1364040</xdr:rowOff>
    </xdr:from>
    <xdr:to>
      <xdr:col>0</xdr:col>
      <xdr:colOff>1342800</xdr:colOff>
      <xdr:row>8</xdr:row>
      <xdr:rowOff>1420559</xdr:rowOff>
    </xdr:to>
    <xdr:pic>
      <xdr:nvPicPr>
        <xdr:cNvPr id="17" name="Image 5" descr="Imag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0" y="6629460"/>
          <a:ext cx="1342801" cy="15233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8</xdr:row>
      <xdr:rowOff>1364039</xdr:rowOff>
    </xdr:from>
    <xdr:to>
      <xdr:col>0</xdr:col>
      <xdr:colOff>1342800</xdr:colOff>
      <xdr:row>9</xdr:row>
      <xdr:rowOff>1420920</xdr:rowOff>
    </xdr:to>
    <xdr:pic>
      <xdr:nvPicPr>
        <xdr:cNvPr id="18" name="Image 6" descr="Imag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0" y="8096309"/>
          <a:ext cx="1342801" cy="15237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9</xdr:row>
      <xdr:rowOff>1364039</xdr:rowOff>
    </xdr:from>
    <xdr:to>
      <xdr:col>0</xdr:col>
      <xdr:colOff>1361880</xdr:colOff>
      <xdr:row>10</xdr:row>
      <xdr:rowOff>1420559</xdr:rowOff>
    </xdr:to>
    <xdr:pic>
      <xdr:nvPicPr>
        <xdr:cNvPr id="19" name="Image 7" descr="Imag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0" y="9563159"/>
          <a:ext cx="1361880" cy="15233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10</xdr:row>
      <xdr:rowOff>1364039</xdr:rowOff>
    </xdr:from>
    <xdr:to>
      <xdr:col>0</xdr:col>
      <xdr:colOff>1314000</xdr:colOff>
      <xdr:row>11</xdr:row>
      <xdr:rowOff>1420559</xdr:rowOff>
    </xdr:to>
    <xdr:pic>
      <xdr:nvPicPr>
        <xdr:cNvPr id="20" name="Image 8" descr="Imag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0" y="11030009"/>
          <a:ext cx="1314001" cy="15233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11</xdr:row>
      <xdr:rowOff>1363680</xdr:rowOff>
    </xdr:from>
    <xdr:to>
      <xdr:col>0</xdr:col>
      <xdr:colOff>1352160</xdr:colOff>
      <xdr:row>12</xdr:row>
      <xdr:rowOff>1420559</xdr:rowOff>
    </xdr:to>
    <xdr:pic>
      <xdr:nvPicPr>
        <xdr:cNvPr id="21" name="Image 9" descr="Imag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0" y="12496500"/>
          <a:ext cx="1352161" cy="15237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12</xdr:row>
      <xdr:rowOff>1364038</xdr:rowOff>
    </xdr:from>
    <xdr:to>
      <xdr:col>0</xdr:col>
      <xdr:colOff>1342800</xdr:colOff>
      <xdr:row>13</xdr:row>
      <xdr:rowOff>1420559</xdr:rowOff>
    </xdr:to>
    <xdr:pic>
      <xdr:nvPicPr>
        <xdr:cNvPr id="22" name="Image 10" descr="Imag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0" y="13963708"/>
          <a:ext cx="1342801" cy="15233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13</xdr:row>
      <xdr:rowOff>1364038</xdr:rowOff>
    </xdr:from>
    <xdr:to>
      <xdr:col>0</xdr:col>
      <xdr:colOff>1342800</xdr:colOff>
      <xdr:row>14</xdr:row>
      <xdr:rowOff>1420919</xdr:rowOff>
    </xdr:to>
    <xdr:pic>
      <xdr:nvPicPr>
        <xdr:cNvPr id="23" name="Image 11" descr="Imag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0" y="15430558"/>
          <a:ext cx="1342801" cy="152373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55"/>
  <sheetViews>
    <sheetView workbookViewId="0" showGridLines="0" defaultGridColor="1"/>
  </sheetViews>
  <sheetFormatPr defaultColWidth="8.66667" defaultRowHeight="15" customHeight="1" outlineLevelRow="0" outlineLevelCol="0"/>
  <cols>
    <col min="1" max="1" width="8" style="1" customWidth="1"/>
    <col min="2" max="2" width="24" style="1" customWidth="1"/>
    <col min="3" max="3" width="7" style="1" customWidth="1"/>
    <col min="4" max="4" width="9" style="1" customWidth="1"/>
    <col min="5" max="6" width="7" style="1" customWidth="1"/>
    <col min="7" max="7" width="9" style="1" customWidth="1"/>
    <col min="8" max="13" width="10" style="1" customWidth="1"/>
    <col min="14" max="14" width="22" style="1" customWidth="1"/>
    <col min="15" max="15" width="13" style="1" customWidth="1"/>
    <col min="16" max="16" width="11" style="1" customWidth="1"/>
    <col min="17" max="16384" width="8.67188" style="1" customWidth="1"/>
  </cols>
  <sheetData>
    <row r="1" ht="23.1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>
      <c r="A4" s="3"/>
      <c r="B4" t="s" s="6">
        <v>2</v>
      </c>
      <c r="C4" s="7">
        <v>0.2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customHeight="1">
      <c r="A5" s="3"/>
      <c r="B5" t="s" s="6">
        <v>3</v>
      </c>
      <c r="C5" s="7">
        <v>0.1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7.15" customHeight="1">
      <c r="A6" s="3"/>
      <c r="B6" t="s" s="6">
        <v>4</v>
      </c>
      <c r="C6" s="7">
        <v>0.55</v>
      </c>
      <c r="D6" t="s" s="9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7.15" customHeight="1">
      <c r="A7" s="3"/>
      <c r="B7" t="s" s="6">
        <v>6</v>
      </c>
      <c r="C7" s="7">
        <v>0.6</v>
      </c>
      <c r="D7" t="s" s="9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customHeight="1">
      <c r="A8" s="5"/>
      <c r="B8" s="5"/>
      <c r="C8" s="10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31.5" customHeight="1">
      <c r="A9" t="s" s="11">
        <v>7</v>
      </c>
      <c r="B9" t="s" s="11">
        <v>8</v>
      </c>
      <c r="C9" t="s" s="11">
        <v>9</v>
      </c>
      <c r="D9" t="s" s="11">
        <v>10</v>
      </c>
      <c r="E9" t="s" s="11">
        <v>11</v>
      </c>
      <c r="F9" t="s" s="11">
        <v>12</v>
      </c>
      <c r="G9" t="s" s="11">
        <v>13</v>
      </c>
      <c r="H9" t="s" s="11">
        <v>14</v>
      </c>
      <c r="I9" t="s" s="11">
        <v>15</v>
      </c>
      <c r="J9" t="s" s="11">
        <v>16</v>
      </c>
      <c r="K9" t="s" s="11">
        <v>17</v>
      </c>
      <c r="L9" t="s" s="12">
        <v>18</v>
      </c>
      <c r="M9" t="s" s="12">
        <v>19</v>
      </c>
      <c r="N9" t="s" s="11">
        <v>20</v>
      </c>
      <c r="O9" t="s" s="11">
        <v>21</v>
      </c>
      <c r="P9" t="s" s="11">
        <v>22</v>
      </c>
    </row>
    <row r="10" ht="17.15" customHeight="1">
      <c r="A10" t="s" s="13">
        <v>23</v>
      </c>
      <c r="B10" t="s" s="14">
        <v>24</v>
      </c>
      <c r="C10" s="15">
        <v>40</v>
      </c>
      <c r="D10" s="16">
        <v>4960</v>
      </c>
      <c r="E10" s="17">
        <v>0.091</v>
      </c>
      <c r="F10" s="18">
        <v>0.35</v>
      </c>
      <c r="G10" s="19" cm="1">
        <f t="array" ref="G10">D10*(1+$C$4+E10)</f>
        <v>6403.36</v>
      </c>
      <c r="H10" s="20">
        <v>18500</v>
      </c>
      <c r="I10" s="21" cm="1">
        <f t="array" ref="I10">ROUND(H10*(1+$C$5),0)</f>
        <v>20350</v>
      </c>
      <c r="J10" s="19" cm="1">
        <f t="array" ref="J10">ROUND(H10*$C$6,0)</f>
        <v>10175</v>
      </c>
      <c r="K10" s="19" cm="1">
        <f t="array" ref="K10">ROUND(H10*$C$7,0)</f>
        <v>11100</v>
      </c>
      <c r="L10" s="22" cm="1">
        <f t="array" ref="L10">(J10-G10)/J10</f>
        <v>0.37067714987715</v>
      </c>
      <c r="M10" s="22" cm="1">
        <f t="array" ref="M10">(K10-G10)/K10</f>
        <v>0.423120720720721</v>
      </c>
      <c r="N10" t="s" s="23">
        <v>25</v>
      </c>
      <c r="O10" s="19">
        <v>34650</v>
      </c>
      <c r="P10" s="24" cm="1">
        <f t="array" ref="P10">I10-O10</f>
        <v>-14300</v>
      </c>
    </row>
    <row r="11" ht="17.15" customHeight="1">
      <c r="A11" t="s" s="13">
        <v>23</v>
      </c>
      <c r="B11" t="s" s="14">
        <v>26</v>
      </c>
      <c r="C11" s="15">
        <v>40</v>
      </c>
      <c r="D11" s="16">
        <v>4000</v>
      </c>
      <c r="E11" s="17">
        <v>0.091</v>
      </c>
      <c r="F11" s="18">
        <v>0.35</v>
      </c>
      <c r="G11" s="19" cm="1">
        <f t="array" ref="G11">D11*(1+$C$4+E11)</f>
        <v>5164</v>
      </c>
      <c r="H11" s="20">
        <v>15000</v>
      </c>
      <c r="I11" s="21" cm="1">
        <f t="array" ref="I11">ROUND(H11*(1+$C$5),0)</f>
        <v>16500</v>
      </c>
      <c r="J11" s="19" cm="1">
        <f t="array" ref="J11">ROUND(H11*$C$6,0)</f>
        <v>8250</v>
      </c>
      <c r="K11" s="19" cm="1">
        <f t="array" ref="K11">ROUND(H11*$C$7,0)</f>
        <v>9000</v>
      </c>
      <c r="L11" s="22" cm="1">
        <f t="array" ref="L11">(J11-G11)/J11</f>
        <v>0.374060606060606</v>
      </c>
      <c r="M11" s="22" cm="1">
        <f t="array" ref="M11">(K11-G11)/K11</f>
        <v>0.426222222222222</v>
      </c>
      <c r="N11" t="s" s="23">
        <v>27</v>
      </c>
      <c r="O11" s="19">
        <v>20790</v>
      </c>
      <c r="P11" s="24" cm="1">
        <f t="array" ref="P11">I11-O11</f>
        <v>-4290</v>
      </c>
    </row>
    <row r="12" ht="17.15" customHeight="1">
      <c r="A12" t="s" s="13">
        <v>23</v>
      </c>
      <c r="B12" t="s" s="14">
        <v>28</v>
      </c>
      <c r="C12" s="15">
        <v>40</v>
      </c>
      <c r="D12" s="16">
        <v>5280</v>
      </c>
      <c r="E12" s="17">
        <v>0.091</v>
      </c>
      <c r="F12" s="18">
        <v>0.35</v>
      </c>
      <c r="G12" s="19" cm="1">
        <f t="array" ref="G12">D12*(1+$C$4+E12)</f>
        <v>6816.48</v>
      </c>
      <c r="H12" s="20" cm="1">
        <f t="array" ref="H12">19500</f>
        <v>19500</v>
      </c>
      <c r="I12" s="21" cm="1">
        <f t="array" ref="I12">ROUND(H12*(1+$C$5),0)</f>
        <v>21450</v>
      </c>
      <c r="J12" s="19" cm="1">
        <f t="array" ref="J12">ROUND(H12*$C$6,0)</f>
        <v>10725</v>
      </c>
      <c r="K12" s="19" cm="1">
        <f t="array" ref="K12">ROUND(H12*$C$7,0)</f>
        <v>11700</v>
      </c>
      <c r="L12" s="22" cm="1">
        <f t="array" ref="L12">(J12-G12)/J12</f>
        <v>0.364430769230769</v>
      </c>
      <c r="M12" s="22" cm="1">
        <f t="array" ref="M12">(K12-G12)/K12</f>
        <v>0.417394871794872</v>
      </c>
      <c r="N12" t="s" s="23">
        <v>29</v>
      </c>
      <c r="O12" t="s" s="25">
        <v>30</v>
      </c>
      <c r="P12" t="s" s="25">
        <v>30</v>
      </c>
    </row>
    <row r="13" ht="17.15" customHeight="1">
      <c r="A13" t="s" s="13">
        <v>23</v>
      </c>
      <c r="B13" t="s" s="14">
        <v>31</v>
      </c>
      <c r="C13" s="15">
        <v>60</v>
      </c>
      <c r="D13" s="16">
        <v>4800</v>
      </c>
      <c r="E13" s="17">
        <v>0.091</v>
      </c>
      <c r="F13" s="18">
        <v>0.35</v>
      </c>
      <c r="G13" s="19" cm="1">
        <f t="array" ref="G13">D13*(1+$C$4+E13)</f>
        <v>6196.8</v>
      </c>
      <c r="H13" s="20" cm="1">
        <f t="array" ref="H13">17800</f>
        <v>17800</v>
      </c>
      <c r="I13" s="21" cm="1">
        <f t="array" ref="I13">ROUND(H13*(1+$C$5),0)</f>
        <v>19580</v>
      </c>
      <c r="J13" s="19" cm="1">
        <f t="array" ref="J13">ROUND(H13*$C$6,0)</f>
        <v>9790</v>
      </c>
      <c r="K13" s="19" cm="1">
        <f t="array" ref="K13">ROUND(H13*$C$7,0)</f>
        <v>10680</v>
      </c>
      <c r="L13" s="22" cm="1">
        <f t="array" ref="L13">(J13-G13)/J13</f>
        <v>0.367027579162411</v>
      </c>
      <c r="M13" s="22" cm="1">
        <f t="array" ref="M13">(K13-G13)/K13</f>
        <v>0.419775280898876</v>
      </c>
      <c r="N13" t="s" s="23">
        <v>32</v>
      </c>
      <c r="O13" s="19">
        <v>17050</v>
      </c>
      <c r="P13" s="24" cm="1">
        <f t="array" ref="P13">I13-O13</f>
        <v>2530</v>
      </c>
    </row>
    <row r="14" ht="17.15" customHeight="1">
      <c r="A14" t="s" s="13">
        <v>23</v>
      </c>
      <c r="B14" t="s" s="14">
        <v>33</v>
      </c>
      <c r="C14" s="15">
        <v>20</v>
      </c>
      <c r="D14" s="16">
        <v>4000</v>
      </c>
      <c r="E14" s="17">
        <v>0.091</v>
      </c>
      <c r="F14" s="18">
        <v>0.35</v>
      </c>
      <c r="G14" s="19" cm="1">
        <f t="array" ref="G14">D14*(1+$C$4+E14)</f>
        <v>5164</v>
      </c>
      <c r="H14" s="20">
        <v>14800</v>
      </c>
      <c r="I14" s="21" cm="1">
        <f t="array" ref="I14">ROUND(H14*(1+$C$5),0)</f>
        <v>16280</v>
      </c>
      <c r="J14" s="19" cm="1">
        <f t="array" ref="J14">ROUND(H14*$C$6,0)</f>
        <v>8140</v>
      </c>
      <c r="K14" s="19" cm="1">
        <f t="array" ref="K14">ROUND(H14*$C$7,0)</f>
        <v>8880</v>
      </c>
      <c r="L14" s="22" cm="1">
        <f t="array" ref="L14">(J14-G14)/J14</f>
        <v>0.365601965601966</v>
      </c>
      <c r="M14" s="22" cm="1">
        <f t="array" ref="M14">(K14-G14)/K14</f>
        <v>0.418468468468468</v>
      </c>
      <c r="N14" t="s" s="23">
        <v>29</v>
      </c>
      <c r="O14" t="s" s="25">
        <v>30</v>
      </c>
      <c r="P14" t="s" s="25">
        <v>30</v>
      </c>
    </row>
    <row r="15" ht="17.15" customHeight="1">
      <c r="A15" t="s" s="13">
        <v>23</v>
      </c>
      <c r="B15" t="s" s="14">
        <v>34</v>
      </c>
      <c r="C15" s="15">
        <v>40</v>
      </c>
      <c r="D15" s="16">
        <v>4000</v>
      </c>
      <c r="E15" s="17">
        <v>0.091</v>
      </c>
      <c r="F15" s="18">
        <v>0.35</v>
      </c>
      <c r="G15" s="19" cm="1">
        <f t="array" ref="G15">D15*(1+$C$4+E15)</f>
        <v>5164</v>
      </c>
      <c r="H15" s="20" cm="1">
        <f t="array" ref="H15">14800</f>
        <v>14800</v>
      </c>
      <c r="I15" s="21" cm="1">
        <f t="array" ref="I15">ROUND(H15*(1+$C$5),0)</f>
        <v>16280</v>
      </c>
      <c r="J15" s="19" cm="1">
        <f t="array" ref="J15">ROUND(H15*$C$6,0)</f>
        <v>8140</v>
      </c>
      <c r="K15" s="19" cm="1">
        <f t="array" ref="K15">ROUND(H15*$C$7,0)</f>
        <v>8880</v>
      </c>
      <c r="L15" s="22" cm="1">
        <f t="array" ref="L15">(J15-G15)/J15</f>
        <v>0.365601965601966</v>
      </c>
      <c r="M15" s="22" cm="1">
        <f t="array" ref="M15">(K15-G15)/K15</f>
        <v>0.418468468468468</v>
      </c>
      <c r="N15" t="s" s="23">
        <v>27</v>
      </c>
      <c r="O15" s="19">
        <v>20790</v>
      </c>
      <c r="P15" s="24" cm="1">
        <f t="array" ref="P15">I15-O15</f>
        <v>-4510</v>
      </c>
    </row>
    <row r="16" ht="17.15" customHeight="1">
      <c r="A16" t="s" s="13">
        <v>23</v>
      </c>
      <c r="B16" t="s" s="14">
        <v>35</v>
      </c>
      <c r="C16" s="15">
        <v>50</v>
      </c>
      <c r="D16" s="16">
        <v>5400</v>
      </c>
      <c r="E16" s="17">
        <v>0.091</v>
      </c>
      <c r="F16" s="18">
        <v>0.35</v>
      </c>
      <c r="G16" s="19" cm="1">
        <f t="array" ref="G16">D16*(1+$C$4+E16)</f>
        <v>6971.4</v>
      </c>
      <c r="H16" s="20" cm="1">
        <f t="array" ref="H16">20000</f>
        <v>20000</v>
      </c>
      <c r="I16" s="21" cm="1">
        <f t="array" ref="I16">ROUND(H16*(1+$C$5),0)</f>
        <v>22000</v>
      </c>
      <c r="J16" s="19" cm="1">
        <f t="array" ref="J16">ROUND(H16*$C$6,0)</f>
        <v>11000</v>
      </c>
      <c r="K16" s="19" cm="1">
        <f t="array" ref="K16">ROUND(H16*$C$7,0)</f>
        <v>12000</v>
      </c>
      <c r="L16" s="22" cm="1">
        <f t="array" ref="L16">(J16-G16)/J16</f>
        <v>0.366236363636364</v>
      </c>
      <c r="M16" s="22" cm="1">
        <f t="array" ref="M16">(K16-G16)/K16</f>
        <v>0.41905</v>
      </c>
      <c r="N16" t="s" s="23">
        <v>36</v>
      </c>
      <c r="O16" s="19">
        <v>27500</v>
      </c>
      <c r="P16" s="24" cm="1">
        <f t="array" ref="P16">I16-O16</f>
        <v>-5500</v>
      </c>
    </row>
    <row r="17" ht="17.15" customHeight="1">
      <c r="A17" t="s" s="13">
        <v>23</v>
      </c>
      <c r="B17" t="s" s="14">
        <v>37</v>
      </c>
      <c r="C17" s="15">
        <v>30</v>
      </c>
      <c r="D17" s="16">
        <v>5040</v>
      </c>
      <c r="E17" s="17">
        <v>0.091</v>
      </c>
      <c r="F17" s="18">
        <v>0.35</v>
      </c>
      <c r="G17" s="19" cm="1">
        <f t="array" ref="G17">D17*(1+$C$4+E17)</f>
        <v>6506.64</v>
      </c>
      <c r="H17" s="20" cm="1">
        <f t="array" ref="H17">18800</f>
        <v>18800</v>
      </c>
      <c r="I17" s="21" cm="1">
        <f t="array" ref="I17">ROUND(H17*(1+$C$5),0)</f>
        <v>20680</v>
      </c>
      <c r="J17" s="19" cm="1">
        <f t="array" ref="J17">ROUND(H17*$C$6,0)</f>
        <v>10340</v>
      </c>
      <c r="K17" s="19" cm="1">
        <f t="array" ref="K17">ROUND(H17*$C$7,0)</f>
        <v>11280</v>
      </c>
      <c r="L17" s="22" cm="1">
        <f t="array" ref="L17">(J17-G17)/J17</f>
        <v>0.370731141199226</v>
      </c>
      <c r="M17" s="22" cm="1">
        <f t="array" ref="M17">(K17-G17)/K17</f>
        <v>0.423170212765957</v>
      </c>
      <c r="N17" t="s" s="23">
        <v>38</v>
      </c>
      <c r="O17" s="19">
        <v>21780</v>
      </c>
      <c r="P17" s="24" cm="1">
        <f t="array" ref="P17">I17-O17</f>
        <v>-1100</v>
      </c>
    </row>
    <row r="18" ht="17.15" customHeight="1">
      <c r="A18" t="s" s="13">
        <v>23</v>
      </c>
      <c r="B18" t="s" s="14">
        <v>39</v>
      </c>
      <c r="C18" s="15">
        <v>60</v>
      </c>
      <c r="D18" s="16">
        <v>4960</v>
      </c>
      <c r="E18" s="17">
        <v>0.091</v>
      </c>
      <c r="F18" s="18">
        <v>0.35</v>
      </c>
      <c r="G18" s="19" cm="1">
        <f t="array" ref="G18">D18*(1+$C$4+E18)</f>
        <v>6403.36</v>
      </c>
      <c r="H18" s="20" cm="1">
        <f t="array" ref="H18">18500</f>
        <v>18500</v>
      </c>
      <c r="I18" s="21" cm="1">
        <f t="array" ref="I18">ROUND(H18*(1+$C$5),0)</f>
        <v>20350</v>
      </c>
      <c r="J18" s="19" cm="1">
        <f t="array" ref="J18">ROUND(H18*$C$6,0)</f>
        <v>10175</v>
      </c>
      <c r="K18" s="19" cm="1">
        <f t="array" ref="K18">ROUND(H18*$C$7,0)</f>
        <v>11100</v>
      </c>
      <c r="L18" s="22" cm="1">
        <f t="array" ref="L18">(J18-G18)/J18</f>
        <v>0.37067714987715</v>
      </c>
      <c r="M18" s="22" cm="1">
        <f t="array" ref="M18">(K18-G18)/K18</f>
        <v>0.423120720720721</v>
      </c>
      <c r="N18" t="s" s="23">
        <v>40</v>
      </c>
      <c r="O18" s="19">
        <v>20900</v>
      </c>
      <c r="P18" s="24" cm="1">
        <f t="array" ref="P18">I18-O18</f>
        <v>-550</v>
      </c>
    </row>
    <row r="19" ht="17.15" customHeight="1">
      <c r="A19" t="s" s="13">
        <v>23</v>
      </c>
      <c r="B19" t="s" s="14">
        <v>41</v>
      </c>
      <c r="C19" s="15">
        <v>50</v>
      </c>
      <c r="D19" s="16">
        <v>6120</v>
      </c>
      <c r="E19" s="17">
        <v>0.091</v>
      </c>
      <c r="F19" s="18">
        <v>0.35</v>
      </c>
      <c r="G19" s="19" cm="1">
        <f t="array" ref="G19">D19*(1+$C$4+E19)</f>
        <v>7900.92</v>
      </c>
      <c r="H19" s="20" cm="1">
        <f t="array" ref="H19">23500</f>
        <v>23500</v>
      </c>
      <c r="I19" s="21" cm="1">
        <f t="array" ref="I19">ROUND(H19*(1+$C$5),0)</f>
        <v>25850</v>
      </c>
      <c r="J19" s="19" cm="1">
        <f t="array" ref="J19">ROUND(H19*$C$6,0)</f>
        <v>12925</v>
      </c>
      <c r="K19" s="19" cm="1">
        <f t="array" ref="K19">ROUND(H19*$C$7,0)</f>
        <v>14100</v>
      </c>
      <c r="L19" s="22" cm="1">
        <f t="array" ref="L19">(J19-G19)/J19</f>
        <v>0.388710251450677</v>
      </c>
      <c r="M19" s="22" cm="1">
        <f t="array" ref="M19">(K19-G19)/K19</f>
        <v>0.439651063829787</v>
      </c>
      <c r="N19" t="s" s="23">
        <v>42</v>
      </c>
      <c r="O19" s="19">
        <v>35200</v>
      </c>
      <c r="P19" s="24" cm="1">
        <f t="array" ref="P19">I19-O19</f>
        <v>-9350</v>
      </c>
    </row>
    <row r="20" ht="17.15" customHeight="1">
      <c r="A20" t="s" s="26">
        <v>43</v>
      </c>
      <c r="B20" t="s" s="27">
        <v>44</v>
      </c>
      <c r="C20" t="s" s="28">
        <v>30</v>
      </c>
      <c r="D20" s="29">
        <v>2928</v>
      </c>
      <c r="E20" s="30">
        <v>0.08400000000000001</v>
      </c>
      <c r="F20" s="31">
        <v>0.4</v>
      </c>
      <c r="G20" s="32" cm="1">
        <f t="array" ref="G20">D20*(1+$C$4+E20)</f>
        <v>3759.552</v>
      </c>
      <c r="H20" s="20">
        <v>9500</v>
      </c>
      <c r="I20" s="33" cm="1">
        <f t="array" ref="I20">ROUND(H20*(1+$C$5),0)</f>
        <v>10450</v>
      </c>
      <c r="J20" s="32" cm="1">
        <f t="array" ref="J20">ROUND(H20*$C$6,0)</f>
        <v>5225</v>
      </c>
      <c r="K20" s="32" cm="1">
        <f t="array" ref="K20">ROUND(H20*$C$7,0)</f>
        <v>5700</v>
      </c>
      <c r="L20" s="34" cm="1">
        <f t="array" ref="L20">(J20-G20)/J20</f>
        <v>0.280468516746411</v>
      </c>
      <c r="M20" s="34" cm="1">
        <f t="array" ref="M20">(K20-G20)/K20</f>
        <v>0.340429473684211</v>
      </c>
      <c r="N20" t="s" s="35">
        <v>30</v>
      </c>
      <c r="O20" t="s" s="28">
        <v>30</v>
      </c>
      <c r="P20" t="s" s="28">
        <v>30</v>
      </c>
    </row>
    <row r="21" ht="17.15" customHeight="1">
      <c r="A21" t="s" s="36">
        <v>45</v>
      </c>
      <c r="B21" t="s" s="37">
        <v>46</v>
      </c>
      <c r="C21" s="38">
        <v>20</v>
      </c>
      <c r="D21" s="39">
        <v>9245</v>
      </c>
      <c r="E21" s="40">
        <v>0.053</v>
      </c>
      <c r="F21" s="41">
        <v>0.4</v>
      </c>
      <c r="G21" s="42" cm="1">
        <f t="array" ref="G21">D21*(1+$C$4+E21)</f>
        <v>11583.985</v>
      </c>
      <c r="H21" s="20">
        <v>28800</v>
      </c>
      <c r="I21" s="43" cm="1">
        <f t="array" ref="I21">ROUND(H21*(1+$C$5),0)</f>
        <v>31680</v>
      </c>
      <c r="J21" s="42" cm="1">
        <f t="array" ref="J21">ROUND(H21*$C$6,0)</f>
        <v>15840</v>
      </c>
      <c r="K21" s="42" cm="1">
        <f t="array" ref="K21">ROUND(H21*$C$7,0)</f>
        <v>17280</v>
      </c>
      <c r="L21" s="44" cm="1">
        <f t="array" ref="L21">(J21-G21)/J21</f>
        <v>0.268687815656566</v>
      </c>
      <c r="M21" s="44" cm="1">
        <f t="array" ref="M21">(K21-G21)/K21</f>
        <v>0.329630497685185</v>
      </c>
      <c r="N21" t="s" s="45">
        <v>47</v>
      </c>
      <c r="O21" s="42">
        <v>26180</v>
      </c>
      <c r="P21" s="46" cm="1">
        <f t="array" ref="P21">I21-O21</f>
        <v>5500</v>
      </c>
    </row>
    <row r="22" ht="17.15" customHeight="1">
      <c r="A22" t="s" s="36">
        <v>45</v>
      </c>
      <c r="B22" t="s" s="37">
        <v>48</v>
      </c>
      <c r="C22" s="38">
        <v>20</v>
      </c>
      <c r="D22" s="39">
        <v>9701</v>
      </c>
      <c r="E22" s="40">
        <v>0.053</v>
      </c>
      <c r="F22" s="41">
        <v>0.4</v>
      </c>
      <c r="G22" s="42" cm="1">
        <f t="array" ref="G22">D22*(1+$C$4+E22)</f>
        <v>12155.353</v>
      </c>
      <c r="H22" s="20" cm="1">
        <f t="array" ref="H22">31000</f>
        <v>31000</v>
      </c>
      <c r="I22" s="43" cm="1">
        <f t="array" ref="I22">ROUND(H22*(1+$C$5),0)</f>
        <v>34100</v>
      </c>
      <c r="J22" s="42" cm="1">
        <f t="array" ref="J22">ROUND(H22*$C$6,0)</f>
        <v>17050</v>
      </c>
      <c r="K22" s="42" cm="1">
        <f t="array" ref="K22">ROUND(H22*$C$7,0)</f>
        <v>18600</v>
      </c>
      <c r="L22" s="44" cm="1">
        <f t="array" ref="L22">(J22-G22)/J22</f>
        <v>0.287076070381232</v>
      </c>
      <c r="M22" s="44" cm="1">
        <f t="array" ref="M22">(K22-G22)/K22</f>
        <v>0.346486397849462</v>
      </c>
      <c r="N22" t="s" s="45">
        <v>49</v>
      </c>
      <c r="O22" t="s" s="47">
        <v>30</v>
      </c>
      <c r="P22" t="s" s="47">
        <v>30</v>
      </c>
    </row>
    <row r="23" ht="17.15" customHeight="1">
      <c r="A23" t="s" s="36">
        <v>45</v>
      </c>
      <c r="B23" t="s" s="37">
        <v>50</v>
      </c>
      <c r="C23" s="38">
        <v>20</v>
      </c>
      <c r="D23" s="39">
        <v>10725</v>
      </c>
      <c r="E23" s="40">
        <v>0.053</v>
      </c>
      <c r="F23" s="41">
        <v>0.4</v>
      </c>
      <c r="G23" s="42" cm="1">
        <f t="array" ref="G23">D23*(1+$C$4+E23)</f>
        <v>13438.425</v>
      </c>
      <c r="H23" s="20" cm="1">
        <f t="array" ref="H23">34000</f>
        <v>34000</v>
      </c>
      <c r="I23" s="43" cm="1">
        <f t="array" ref="I23">ROUND(H23*(1+$C$5),0)</f>
        <v>37400</v>
      </c>
      <c r="J23" s="42" cm="1">
        <f t="array" ref="J23">ROUND(H23*$C$6,0)</f>
        <v>18700</v>
      </c>
      <c r="K23" s="42" cm="1">
        <f t="array" ref="K23">ROUND(H23*$C$7,0)</f>
        <v>20400</v>
      </c>
      <c r="L23" s="44" cm="1">
        <f t="array" ref="L23">(J23-G23)/J23</f>
        <v>0.281367647058824</v>
      </c>
      <c r="M23" s="44" cm="1">
        <f t="array" ref="M23">(K23-G23)/K23</f>
        <v>0.341253676470588</v>
      </c>
      <c r="N23" t="s" s="45">
        <v>51</v>
      </c>
      <c r="O23" s="42">
        <v>36300</v>
      </c>
      <c r="P23" s="46" cm="1">
        <f t="array" ref="P23">I23-O23</f>
        <v>1100</v>
      </c>
    </row>
    <row r="24" ht="17.15" customHeight="1">
      <c r="A24" t="s" s="36">
        <v>45</v>
      </c>
      <c r="B24" t="s" s="37">
        <v>52</v>
      </c>
      <c r="C24" s="38">
        <v>30</v>
      </c>
      <c r="D24" s="39">
        <v>4742</v>
      </c>
      <c r="E24" s="40">
        <v>0.053</v>
      </c>
      <c r="F24" s="41">
        <v>0.4</v>
      </c>
      <c r="G24" s="42" cm="1">
        <f t="array" ref="G24">D24*(1+$C$4+E24)</f>
        <v>5941.726</v>
      </c>
      <c r="H24" s="20" cm="1">
        <f t="array" ref="H24">14800</f>
        <v>14800</v>
      </c>
      <c r="I24" s="43" cm="1">
        <f t="array" ref="I24">ROUND(H24*(1+$C$5),0)</f>
        <v>16280</v>
      </c>
      <c r="J24" s="42" cm="1">
        <f t="array" ref="J24">ROUND(H24*$C$6,0)</f>
        <v>8140</v>
      </c>
      <c r="K24" s="42" cm="1">
        <f t="array" ref="K24">ROUND(H24*$C$7,0)</f>
        <v>8880</v>
      </c>
      <c r="L24" s="44" cm="1">
        <f t="array" ref="L24">(J24-G24)/J24</f>
        <v>0.270058230958231</v>
      </c>
      <c r="M24" s="44" cm="1">
        <f t="array" ref="M24">(K24-G24)/K24</f>
        <v>0.330886711711712</v>
      </c>
      <c r="N24" t="s" s="45">
        <v>53</v>
      </c>
      <c r="O24" s="42">
        <v>17380</v>
      </c>
      <c r="P24" s="46" cm="1">
        <f t="array" ref="P24">I24-O24</f>
        <v>-1100</v>
      </c>
    </row>
    <row r="25" ht="17.15" customHeight="1">
      <c r="A25" t="s" s="36">
        <v>45</v>
      </c>
      <c r="B25" t="s" s="37">
        <v>54</v>
      </c>
      <c r="C25" s="38">
        <v>30</v>
      </c>
      <c r="D25" s="39">
        <v>5254</v>
      </c>
      <c r="E25" s="40">
        <v>0.053</v>
      </c>
      <c r="F25" s="41">
        <v>0.4</v>
      </c>
      <c r="G25" s="42" cm="1">
        <f t="array" ref="G25">D25*(1+$C$4+E25)</f>
        <v>6583.262</v>
      </c>
      <c r="H25" s="20" cm="1">
        <f t="array" ref="H25">16800</f>
        <v>16800</v>
      </c>
      <c r="I25" s="43" cm="1">
        <f t="array" ref="I25">ROUND(H25*(1+$C$5),0)</f>
        <v>18480</v>
      </c>
      <c r="J25" s="42" cm="1">
        <f t="array" ref="J25">ROUND(H25*$C$6,0)</f>
        <v>9240</v>
      </c>
      <c r="K25" s="42" cm="1">
        <f t="array" ref="K25">ROUND(H25*$C$7,0)</f>
        <v>10080</v>
      </c>
      <c r="L25" s="44" cm="1">
        <f t="array" ref="L25">(J25-G25)/J25</f>
        <v>0.287525757575758</v>
      </c>
      <c r="M25" s="44" cm="1">
        <f t="array" ref="M25">(K25-G25)/K25</f>
        <v>0.346898611111111</v>
      </c>
      <c r="N25" t="s" s="45">
        <v>55</v>
      </c>
      <c r="O25" s="42">
        <v>20350</v>
      </c>
      <c r="P25" s="46" cm="1">
        <f t="array" ref="P25">I25-O25</f>
        <v>-1870</v>
      </c>
    </row>
    <row r="26" ht="17.15" customHeight="1">
      <c r="A26" t="s" s="36">
        <v>45</v>
      </c>
      <c r="B26" t="s" s="37">
        <v>56</v>
      </c>
      <c r="C26" s="38">
        <v>30</v>
      </c>
      <c r="D26" s="39">
        <v>5766</v>
      </c>
      <c r="E26" s="40">
        <v>0.053</v>
      </c>
      <c r="F26" s="41">
        <v>0.4</v>
      </c>
      <c r="G26" s="42" cm="1">
        <f t="array" ref="G26">D26*(1+$C$4+E26)</f>
        <v>7224.798</v>
      </c>
      <c r="H26" s="20" cm="1">
        <f t="array" ref="H26">18800</f>
        <v>18800</v>
      </c>
      <c r="I26" s="43" cm="1">
        <f t="array" ref="I26">ROUND(H26*(1+$C$5),0)</f>
        <v>20680</v>
      </c>
      <c r="J26" s="42" cm="1">
        <f t="array" ref="J26">ROUND(H26*$C$6,0)</f>
        <v>10340</v>
      </c>
      <c r="K26" s="42" cm="1">
        <f t="array" ref="K26">ROUND(H26*$C$7,0)</f>
        <v>11280</v>
      </c>
      <c r="L26" s="44" cm="1">
        <f t="array" ref="L26">(J26-G26)/J26</f>
        <v>0.301276789168279</v>
      </c>
      <c r="M26" s="44" cm="1">
        <f t="array" ref="M26">(K26-G26)/K26</f>
        <v>0.359503723404255</v>
      </c>
      <c r="N26" t="s" s="45">
        <v>57</v>
      </c>
      <c r="O26" s="42">
        <v>21450</v>
      </c>
      <c r="P26" s="46" cm="1">
        <f t="array" ref="P26">I26-O26</f>
        <v>-770</v>
      </c>
    </row>
    <row r="27" ht="17.15" customHeight="1">
      <c r="A27" t="s" s="36">
        <v>45</v>
      </c>
      <c r="B27" t="s" s="37">
        <v>58</v>
      </c>
      <c r="C27" s="38">
        <v>20</v>
      </c>
      <c r="D27" s="39">
        <v>259</v>
      </c>
      <c r="E27" s="40">
        <v>0.053</v>
      </c>
      <c r="F27" s="41">
        <v>0.4</v>
      </c>
      <c r="G27" s="42" cm="1">
        <f t="array" ref="G27">D27*(1+$C$4+E27)</f>
        <v>324.527</v>
      </c>
      <c r="H27" s="20">
        <v>3500</v>
      </c>
      <c r="I27" s="43" cm="1">
        <f t="array" ref="I27">ROUND(H27*(1+$C$5),0)</f>
        <v>3850</v>
      </c>
      <c r="J27" s="42" cm="1">
        <f t="array" ref="J27">ROUND(H27*$C$6,0)</f>
        <v>1925</v>
      </c>
      <c r="K27" s="42" cm="1">
        <f t="array" ref="K27">ROUND(H27*$C$7,0)</f>
        <v>2100</v>
      </c>
      <c r="L27" s="44" cm="1">
        <f t="array" ref="L27">(J27-G27)/J27</f>
        <v>0.831414545454545</v>
      </c>
      <c r="M27" s="44" cm="1">
        <f t="array" ref="M27">(K27-G27)/K27</f>
        <v>0.845463333333333</v>
      </c>
      <c r="N27" t="s" s="45">
        <v>59</v>
      </c>
      <c r="O27" s="42">
        <v>4290</v>
      </c>
      <c r="P27" s="46" cm="1">
        <f t="array" ref="P27">I27-O27</f>
        <v>-440</v>
      </c>
    </row>
    <row r="28" ht="17.15" customHeight="1">
      <c r="A28" t="s" s="48">
        <v>60</v>
      </c>
      <c r="B28" t="s" s="49">
        <v>61</v>
      </c>
      <c r="C28" s="50">
        <v>50</v>
      </c>
      <c r="D28" s="51">
        <v>2368</v>
      </c>
      <c r="E28" s="52">
        <v>0.08400000000000001</v>
      </c>
      <c r="F28" s="53">
        <v>0.4</v>
      </c>
      <c r="G28" s="54" cm="1">
        <f t="array" ref="G28">D28*(1+$C$4+E28)</f>
        <v>3040.512</v>
      </c>
      <c r="H28" s="20" cm="1">
        <f t="array" ref="H28">7600</f>
        <v>7600</v>
      </c>
      <c r="I28" s="55" cm="1">
        <f t="array" ref="I28">ROUND(H28*(1+$C$5),0)</f>
        <v>8360</v>
      </c>
      <c r="J28" s="54" cm="1">
        <f t="array" ref="J28">ROUND(H28*$C$6,0)</f>
        <v>4180</v>
      </c>
      <c r="K28" s="54" cm="1">
        <f t="array" ref="K28">ROUND(H28*$C$7,0)</f>
        <v>4560</v>
      </c>
      <c r="L28" s="56" cm="1">
        <f t="array" ref="L28">(J28-G28)/J28</f>
        <v>0.272604784688995</v>
      </c>
      <c r="M28" s="56" cm="1">
        <f t="array" ref="M28">(K28-G28)/K28</f>
        <v>0.333221052631579</v>
      </c>
      <c r="N28" t="s" s="48">
        <v>62</v>
      </c>
      <c r="O28" s="54">
        <v>8690</v>
      </c>
      <c r="P28" s="57" cm="1">
        <f t="array" ref="P28">I28-O28</f>
        <v>-330</v>
      </c>
    </row>
    <row r="29" ht="17.15" customHeight="1">
      <c r="A29" t="s" s="48">
        <v>60</v>
      </c>
      <c r="B29" t="s" s="49">
        <v>63</v>
      </c>
      <c r="C29" s="50">
        <v>50</v>
      </c>
      <c r="D29" s="51">
        <v>2688</v>
      </c>
      <c r="E29" s="52">
        <v>0.08400000000000001</v>
      </c>
      <c r="F29" s="53">
        <v>0.4</v>
      </c>
      <c r="G29" s="54" cm="1">
        <f t="array" ref="G29">D29*(1+$C$4+E29)</f>
        <v>3451.392</v>
      </c>
      <c r="H29" s="20" cm="1">
        <f t="array" ref="H29">8800</f>
        <v>8800</v>
      </c>
      <c r="I29" s="55" cm="1">
        <f t="array" ref="I29">ROUND(H29*(1+$C$5),0)</f>
        <v>9680</v>
      </c>
      <c r="J29" s="54" cm="1">
        <f t="array" ref="J29">ROUND(H29*$C$6,0)</f>
        <v>4840</v>
      </c>
      <c r="K29" s="54" cm="1">
        <f t="array" ref="K29">ROUND(H29*$C$7,0)</f>
        <v>5280</v>
      </c>
      <c r="L29" s="56" cm="1">
        <f t="array" ref="L29">(J29-G29)/J29</f>
        <v>0.286902479338843</v>
      </c>
      <c r="M29" s="56" cm="1">
        <f t="array" ref="M29">(K29-G29)/K29</f>
        <v>0.346327272727273</v>
      </c>
      <c r="N29" t="s" s="48">
        <v>62</v>
      </c>
      <c r="O29" s="54">
        <v>8690</v>
      </c>
      <c r="P29" s="57" cm="1">
        <f t="array" ref="P29">I29-O29</f>
        <v>990</v>
      </c>
    </row>
    <row r="30" ht="17.15" customHeight="1">
      <c r="A30" t="s" s="48">
        <v>60</v>
      </c>
      <c r="B30" t="s" s="49">
        <v>64</v>
      </c>
      <c r="C30" s="50">
        <v>50</v>
      </c>
      <c r="D30" s="51">
        <v>2528</v>
      </c>
      <c r="E30" s="52">
        <v>0.08400000000000001</v>
      </c>
      <c r="F30" s="53">
        <v>0.4</v>
      </c>
      <c r="G30" s="54" cm="1">
        <f t="array" ref="G30">D30*(1+$C$4+E30)</f>
        <v>3245.952</v>
      </c>
      <c r="H30" s="20" cm="1">
        <f t="array" ref="H30">8200</f>
        <v>8200</v>
      </c>
      <c r="I30" s="55" cm="1">
        <f t="array" ref="I30">ROUND(H30*(1+$C$5),0)</f>
        <v>9020</v>
      </c>
      <c r="J30" s="54" cm="1">
        <f t="array" ref="J30">ROUND(H30*$C$6,0)</f>
        <v>4510</v>
      </c>
      <c r="K30" s="54" cm="1">
        <f t="array" ref="K30">ROUND(H30*$C$7,0)</f>
        <v>4920</v>
      </c>
      <c r="L30" s="56" cm="1">
        <f t="array" ref="L30">(J30-G30)/J30</f>
        <v>0.280276718403548</v>
      </c>
      <c r="M30" s="56" cm="1">
        <f t="array" ref="M30">(K30-G30)/K30</f>
        <v>0.340253658536585</v>
      </c>
      <c r="N30" t="s" s="48">
        <v>62</v>
      </c>
      <c r="O30" s="54">
        <v>8690</v>
      </c>
      <c r="P30" s="57" cm="1">
        <f t="array" ref="P30">I30-O30</f>
        <v>330</v>
      </c>
    </row>
    <row r="31" ht="17.15" customHeight="1">
      <c r="A31" t="s" s="48">
        <v>60</v>
      </c>
      <c r="B31" t="s" s="49">
        <v>65</v>
      </c>
      <c r="C31" s="50">
        <v>50</v>
      </c>
      <c r="D31" s="51">
        <v>2528</v>
      </c>
      <c r="E31" s="52">
        <v>0.08400000000000001</v>
      </c>
      <c r="F31" s="53">
        <v>0.4</v>
      </c>
      <c r="G31" s="54" cm="1">
        <f t="array" ref="G31">D31*(1+$C$4+E31)</f>
        <v>3245.952</v>
      </c>
      <c r="H31" s="20" cm="1">
        <f t="array" ref="H31">8200</f>
        <v>8200</v>
      </c>
      <c r="I31" s="55" cm="1">
        <f t="array" ref="I31">ROUND(H31*(1+$C$5),0)</f>
        <v>9020</v>
      </c>
      <c r="J31" s="54" cm="1">
        <f t="array" ref="J31">ROUND(H31*$C$6,0)</f>
        <v>4510</v>
      </c>
      <c r="K31" s="54" cm="1">
        <f t="array" ref="K31">ROUND(H31*$C$7,0)</f>
        <v>4920</v>
      </c>
      <c r="L31" s="56" cm="1">
        <f t="array" ref="L31">(J31-G31)/J31</f>
        <v>0.280276718403548</v>
      </c>
      <c r="M31" s="56" cm="1">
        <f t="array" ref="M31">(K31-G31)/K31</f>
        <v>0.340253658536585</v>
      </c>
      <c r="N31" t="s" s="48">
        <v>62</v>
      </c>
      <c r="O31" s="54">
        <v>8690</v>
      </c>
      <c r="P31" s="57" cm="1">
        <f t="array" ref="P31">I31-O31</f>
        <v>330</v>
      </c>
    </row>
    <row r="32" ht="17.15" customHeight="1">
      <c r="A32" t="s" s="48">
        <v>60</v>
      </c>
      <c r="B32" t="s" s="49">
        <v>66</v>
      </c>
      <c r="C32" s="50">
        <v>50</v>
      </c>
      <c r="D32" s="51">
        <v>1568</v>
      </c>
      <c r="E32" s="52">
        <v>0.08400000000000001</v>
      </c>
      <c r="F32" s="53">
        <v>0.4</v>
      </c>
      <c r="G32" s="54" cm="1">
        <f t="array" ref="G32">D32*(1+$C$4+E32)</f>
        <v>2013.312</v>
      </c>
      <c r="H32" s="20" cm="1">
        <f t="array" ref="H32">5050</f>
        <v>5050</v>
      </c>
      <c r="I32" s="55" cm="1">
        <f t="array" ref="I32">ROUND(H32*(1+$C$5),0)</f>
        <v>5555</v>
      </c>
      <c r="J32" s="54" cm="1">
        <f t="array" ref="J32">ROUND(H32*$C$6,0)</f>
        <v>2778</v>
      </c>
      <c r="K32" s="54" cm="1">
        <f t="array" ref="K32">ROUND(H32*$C$7,0)</f>
        <v>3030</v>
      </c>
      <c r="L32" s="56" cm="1">
        <f t="array" ref="L32">(J32-G32)/J32</f>
        <v>0.2752656587473</v>
      </c>
      <c r="M32" s="56" cm="1">
        <f t="array" ref="M32">(K32-G32)/K32</f>
        <v>0.335540594059406</v>
      </c>
      <c r="N32" t="s" s="48">
        <v>67</v>
      </c>
      <c r="O32" s="54">
        <v>9900</v>
      </c>
      <c r="P32" s="57" cm="1">
        <f t="array" ref="P32">I32-O32</f>
        <v>-4345</v>
      </c>
    </row>
    <row r="33" ht="17.15" customHeight="1">
      <c r="A33" t="s" s="48">
        <v>60</v>
      </c>
      <c r="B33" t="s" s="49">
        <v>68</v>
      </c>
      <c r="C33" s="50">
        <v>50</v>
      </c>
      <c r="D33" s="51">
        <v>1888</v>
      </c>
      <c r="E33" s="52">
        <v>0.08400000000000001</v>
      </c>
      <c r="F33" s="53">
        <v>0.4</v>
      </c>
      <c r="G33" s="54" cm="1">
        <f t="array" ref="G33">D33*(1+$C$4+E33)</f>
        <v>2424.192</v>
      </c>
      <c r="H33" s="20">
        <v>6100</v>
      </c>
      <c r="I33" s="55" cm="1">
        <f t="array" ref="I33">ROUND(H33*(1+$C$5),0)</f>
        <v>6710</v>
      </c>
      <c r="J33" s="54" cm="1">
        <f t="array" ref="J33">ROUND(H33*$C$6,0)</f>
        <v>3355</v>
      </c>
      <c r="K33" s="54" cm="1">
        <f t="array" ref="K33">ROUND(H33*$C$7,0)</f>
        <v>3660</v>
      </c>
      <c r="L33" s="56" cm="1">
        <f t="array" ref="L33">(J33-G33)/J33</f>
        <v>0.277439046199702</v>
      </c>
      <c r="M33" s="56" cm="1">
        <f t="array" ref="M33">(K33-G33)/K33</f>
        <v>0.337652459016393</v>
      </c>
      <c r="N33" t="s" s="48">
        <v>67</v>
      </c>
      <c r="O33" s="54">
        <v>9900</v>
      </c>
      <c r="P33" s="57" cm="1">
        <f t="array" ref="P33">I33-O33</f>
        <v>-3190</v>
      </c>
    </row>
    <row r="34" ht="17.15" customHeight="1">
      <c r="A34" t="s" s="48">
        <v>60</v>
      </c>
      <c r="B34" t="s" s="49">
        <v>69</v>
      </c>
      <c r="C34" s="50">
        <v>50</v>
      </c>
      <c r="D34" s="51">
        <v>1408</v>
      </c>
      <c r="E34" s="52">
        <v>0.08400000000000001</v>
      </c>
      <c r="F34" s="53">
        <v>0.4</v>
      </c>
      <c r="G34" s="54" cm="1">
        <f t="array" ref="G34">D34*(1+$C$4+E34)</f>
        <v>1807.872</v>
      </c>
      <c r="H34" s="20" cm="1">
        <f t="array" ref="H34">4550</f>
        <v>4550</v>
      </c>
      <c r="I34" s="55" cm="1">
        <f t="array" ref="I34">ROUND(H34*(1+$C$5),0)</f>
        <v>5005</v>
      </c>
      <c r="J34" s="54" cm="1">
        <f t="array" ref="J34">ROUND(H34*$C$6,0)</f>
        <v>2503</v>
      </c>
      <c r="K34" s="54" cm="1">
        <f t="array" ref="K34">ROUND(H34*$C$7,0)</f>
        <v>2730</v>
      </c>
      <c r="L34" s="56" cm="1">
        <f t="array" ref="L34">(J34-G34)/J34</f>
        <v>0.277717938473831</v>
      </c>
      <c r="M34" s="56" cm="1">
        <f t="array" ref="M34">(K34-G34)/K34</f>
        <v>0.337775824175824</v>
      </c>
      <c r="N34" t="s" s="48">
        <v>70</v>
      </c>
      <c r="O34" s="54">
        <v>5500</v>
      </c>
      <c r="P34" s="57" cm="1">
        <f t="array" ref="P34">I34-O34</f>
        <v>-495</v>
      </c>
    </row>
    <row r="35" ht="17.15" customHeight="1">
      <c r="A35" t="s" s="48">
        <v>60</v>
      </c>
      <c r="B35" t="s" s="49">
        <v>71</v>
      </c>
      <c r="C35" s="50">
        <v>50</v>
      </c>
      <c r="D35" s="51">
        <v>1248</v>
      </c>
      <c r="E35" s="52">
        <v>0.08400000000000001</v>
      </c>
      <c r="F35" s="53">
        <v>0.4</v>
      </c>
      <c r="G35" s="54" cm="1">
        <f t="array" ref="G35">D35*(1+$C$4+E35)</f>
        <v>1602.432</v>
      </c>
      <c r="H35" s="20" cm="1">
        <f t="array" ref="H35">4000</f>
        <v>4000</v>
      </c>
      <c r="I35" s="55" cm="1">
        <f t="array" ref="I35">ROUND(H35*(1+$C$5),0)</f>
        <v>4400</v>
      </c>
      <c r="J35" s="54" cm="1">
        <f t="array" ref="J35">ROUND(H35*$C$6,0)</f>
        <v>2200</v>
      </c>
      <c r="K35" s="54" cm="1">
        <f t="array" ref="K35">ROUND(H35*$C$7,0)</f>
        <v>2400</v>
      </c>
      <c r="L35" s="56" cm="1">
        <f t="array" ref="L35">(J35-G35)/J35</f>
        <v>0.271621818181818</v>
      </c>
      <c r="M35" s="56" cm="1">
        <f t="array" ref="M35">(K35-G35)/K35</f>
        <v>0.33232</v>
      </c>
      <c r="N35" t="s" s="48">
        <v>70</v>
      </c>
      <c r="O35" s="54">
        <v>5500</v>
      </c>
      <c r="P35" s="57" cm="1">
        <f t="array" ref="P35">I35-O35</f>
        <v>-1100</v>
      </c>
    </row>
    <row r="36" ht="17.15" customHeight="1">
      <c r="A36" t="s" s="48">
        <v>60</v>
      </c>
      <c r="B36" t="s" s="49">
        <v>72</v>
      </c>
      <c r="C36" s="50">
        <v>50</v>
      </c>
      <c r="D36" s="51">
        <v>1088</v>
      </c>
      <c r="E36" s="52">
        <v>0.08400000000000001</v>
      </c>
      <c r="F36" s="53">
        <v>0.4</v>
      </c>
      <c r="G36" s="54" cm="1">
        <f t="array" ref="G36">D36*(1+$C$4+E36)</f>
        <v>1396.992</v>
      </c>
      <c r="H36" s="20" cm="1">
        <f t="array" ref="H36">3500</f>
        <v>3500</v>
      </c>
      <c r="I36" s="55" cm="1">
        <f t="array" ref="I36">ROUND(H36*(1+$C$5),0)</f>
        <v>3850</v>
      </c>
      <c r="J36" s="54" cm="1">
        <f t="array" ref="J36">ROUND(H36*$C$6,0)</f>
        <v>1925</v>
      </c>
      <c r="K36" s="54" cm="1">
        <f t="array" ref="K36">ROUND(H36*$C$7,0)</f>
        <v>2100</v>
      </c>
      <c r="L36" s="56" cm="1">
        <f t="array" ref="L36">(J36-G36)/J36</f>
        <v>0.27428987012987</v>
      </c>
      <c r="M36" s="56" cm="1">
        <f t="array" ref="M36">(K36-G36)/K36</f>
        <v>0.334765714285714</v>
      </c>
      <c r="N36" t="s" s="48">
        <v>70</v>
      </c>
      <c r="O36" s="54">
        <v>5500</v>
      </c>
      <c r="P36" s="57" cm="1">
        <f t="array" ref="P36">I36-O36</f>
        <v>-1650</v>
      </c>
    </row>
    <row r="37" ht="17.15" customHeight="1">
      <c r="A37" t="s" s="48">
        <v>60</v>
      </c>
      <c r="B37" t="s" s="49">
        <v>73</v>
      </c>
      <c r="C37" s="50">
        <v>50</v>
      </c>
      <c r="D37" s="51">
        <v>2208</v>
      </c>
      <c r="E37" s="52">
        <v>0.08400000000000001</v>
      </c>
      <c r="F37" s="53">
        <v>0.4</v>
      </c>
      <c r="G37" s="54" cm="1">
        <f t="array" ref="G37">D37*(1+$C$4+E37)</f>
        <v>2835.072</v>
      </c>
      <c r="H37" s="20" cm="1">
        <f t="array" ref="H37">7100</f>
        <v>7100</v>
      </c>
      <c r="I37" s="55" cm="1">
        <f t="array" ref="I37">ROUND(H37*(1+$C$5),0)</f>
        <v>7810</v>
      </c>
      <c r="J37" s="54" cm="1">
        <f t="array" ref="J37">ROUND(H37*$C$6,0)</f>
        <v>3905</v>
      </c>
      <c r="K37" s="54" cm="1">
        <f t="array" ref="K37">ROUND(H37*$C$7,0)</f>
        <v>4260</v>
      </c>
      <c r="L37" s="56" cm="1">
        <f t="array" ref="L37">(J37-G37)/J37</f>
        <v>0.273989244558259</v>
      </c>
      <c r="M37" s="56" cm="1">
        <f t="array" ref="M37">(K37-G37)/K37</f>
        <v>0.33449014084507</v>
      </c>
      <c r="N37" t="s" s="48">
        <v>74</v>
      </c>
      <c r="O37" t="s" s="58">
        <v>30</v>
      </c>
      <c r="P37" t="s" s="58">
        <v>30</v>
      </c>
    </row>
    <row r="38" ht="17.15" customHeight="1">
      <c r="A38" t="s" s="48">
        <v>60</v>
      </c>
      <c r="B38" t="s" s="49">
        <v>75</v>
      </c>
      <c r="C38" s="50">
        <v>50</v>
      </c>
      <c r="D38" s="51">
        <v>1888</v>
      </c>
      <c r="E38" s="52">
        <v>0.08400000000000001</v>
      </c>
      <c r="F38" s="53">
        <v>0.4</v>
      </c>
      <c r="G38" s="54" cm="1">
        <f t="array" ref="G38">D38*(1+$C$4+E38)</f>
        <v>2424.192</v>
      </c>
      <c r="H38" s="20" cm="1">
        <f t="array" ref="H38">6100</f>
        <v>6100</v>
      </c>
      <c r="I38" s="55" cm="1">
        <f t="array" ref="I38">ROUND(H38*(1+$C$5),0)</f>
        <v>6710</v>
      </c>
      <c r="J38" s="54" cm="1">
        <f t="array" ref="J38">ROUND(H38*$C$6,0)</f>
        <v>3355</v>
      </c>
      <c r="K38" s="54" cm="1">
        <f t="array" ref="K38">ROUND(H38*$C$7,0)</f>
        <v>3660</v>
      </c>
      <c r="L38" s="56" cm="1">
        <f t="array" ref="L38">(J38-G38)/J38</f>
        <v>0.277439046199702</v>
      </c>
      <c r="M38" s="56" cm="1">
        <f t="array" ref="M38">(K38-G38)/K38</f>
        <v>0.337652459016393</v>
      </c>
      <c r="N38" t="s" s="48">
        <v>74</v>
      </c>
      <c r="O38" t="s" s="58">
        <v>30</v>
      </c>
      <c r="P38" t="s" s="58">
        <v>30</v>
      </c>
    </row>
    <row r="39" ht="17.15" customHeight="1">
      <c r="A39" t="s" s="59">
        <v>76</v>
      </c>
      <c r="B39" t="s" s="60">
        <v>77</v>
      </c>
      <c r="C39" s="61">
        <v>30</v>
      </c>
      <c r="D39" s="62">
        <v>432</v>
      </c>
      <c r="E39" s="63">
        <v>0.053</v>
      </c>
      <c r="F39" s="64">
        <v>0.4</v>
      </c>
      <c r="G39" s="65" cm="1">
        <f t="array" ref="G39">D39*(1+$C$4+E39)</f>
        <v>541.296</v>
      </c>
      <c r="H39" s="20">
        <v>1350</v>
      </c>
      <c r="I39" s="66" cm="1">
        <f t="array" ref="I39">ROUND(H39*(1+$C$5),0)</f>
        <v>1485</v>
      </c>
      <c r="J39" s="65" cm="1">
        <f t="array" ref="J39">ROUND(H39*$C$6,0)</f>
        <v>743</v>
      </c>
      <c r="K39" s="65" cm="1">
        <f t="array" ref="K39">ROUND(H39*$C$7,0)</f>
        <v>810</v>
      </c>
      <c r="L39" s="67" cm="1">
        <f t="array" ref="L39">(J39-G39)/J39</f>
        <v>0.271472409152086</v>
      </c>
      <c r="M39" s="67" cm="1">
        <f t="array" ref="M39">(K39-G39)/K39</f>
        <v>0.331733333333333</v>
      </c>
      <c r="N39" t="s" s="68">
        <v>78</v>
      </c>
      <c r="O39" s="65">
        <v>1760</v>
      </c>
      <c r="P39" s="69" cm="1">
        <f t="array" ref="P39">I39-O39</f>
        <v>-275</v>
      </c>
    </row>
    <row r="40" ht="17.15" customHeight="1">
      <c r="A40" t="s" s="59">
        <v>76</v>
      </c>
      <c r="B40" t="s" s="60">
        <v>79</v>
      </c>
      <c r="C40" s="61">
        <v>30</v>
      </c>
      <c r="D40" s="62">
        <v>688</v>
      </c>
      <c r="E40" s="63">
        <v>0.053</v>
      </c>
      <c r="F40" s="64">
        <v>0.4</v>
      </c>
      <c r="G40" s="65" cm="1">
        <f t="array" ref="G40">D40*(1+$C$4+E40)</f>
        <v>862.064</v>
      </c>
      <c r="H40" s="20" cm="1">
        <f t="array" ref="H40">2200</f>
        <v>2200</v>
      </c>
      <c r="I40" s="66" cm="1">
        <f t="array" ref="I40">ROUND(H40*(1+$C$5),0)</f>
        <v>2420</v>
      </c>
      <c r="J40" s="65" cm="1">
        <f t="array" ref="J40">ROUND(H40*$C$6,0)</f>
        <v>1210</v>
      </c>
      <c r="K40" s="65" cm="1">
        <f t="array" ref="K40">ROUND(H40*$C$7,0)</f>
        <v>1320</v>
      </c>
      <c r="L40" s="67" cm="1">
        <f t="array" ref="L40">(J40-G40)/J40</f>
        <v>0.28755041322314</v>
      </c>
      <c r="M40" s="67" cm="1">
        <f t="array" ref="M40">(K40-G40)/K40</f>
        <v>0.346921212121212</v>
      </c>
      <c r="N40" t="s" s="68">
        <v>30</v>
      </c>
      <c r="O40" t="s" s="70">
        <v>30</v>
      </c>
      <c r="P40" t="s" s="70">
        <v>30</v>
      </c>
    </row>
    <row r="41" ht="17.15" customHeight="1">
      <c r="A41" t="s" s="59">
        <v>76</v>
      </c>
      <c r="B41" t="s" s="60">
        <v>80</v>
      </c>
      <c r="C41" s="61">
        <v>30</v>
      </c>
      <c r="D41" s="62">
        <v>1760</v>
      </c>
      <c r="E41" s="63">
        <v>0.053</v>
      </c>
      <c r="F41" s="64">
        <v>0.4</v>
      </c>
      <c r="G41" s="65" cm="1">
        <f t="array" ref="G41">D41*(1+$C$4+E41)</f>
        <v>2205.28</v>
      </c>
      <c r="H41" s="20" cm="1">
        <f t="array" ref="H41">5500</f>
        <v>5500</v>
      </c>
      <c r="I41" s="66" cm="1">
        <f t="array" ref="I41">ROUND(H41*(1+$C$5),0)</f>
        <v>6050</v>
      </c>
      <c r="J41" s="65" cm="1">
        <f t="array" ref="J41">ROUND(H41*$C$6,0)</f>
        <v>3025</v>
      </c>
      <c r="K41" s="65" cm="1">
        <f t="array" ref="K41">ROUND(H41*$C$7,0)</f>
        <v>3300</v>
      </c>
      <c r="L41" s="67" cm="1">
        <f t="array" ref="L41">(J41-G41)/J41</f>
        <v>0.270981818181818</v>
      </c>
      <c r="M41" s="67" cm="1">
        <f t="array" ref="M41">(K41-G41)/K41</f>
        <v>0.331733333333333</v>
      </c>
      <c r="N41" t="s" s="68">
        <v>30</v>
      </c>
      <c r="O41" t="s" s="70">
        <v>30</v>
      </c>
      <c r="P41" t="s" s="70">
        <v>30</v>
      </c>
    </row>
    <row r="42" ht="17.15" customHeight="1">
      <c r="A42" t="s" s="59">
        <v>76</v>
      </c>
      <c r="B42" t="s" s="60">
        <v>81</v>
      </c>
      <c r="C42" s="61">
        <v>20</v>
      </c>
      <c r="D42" s="62">
        <v>5120</v>
      </c>
      <c r="E42" s="63">
        <v>0.091</v>
      </c>
      <c r="F42" s="64">
        <v>0.4</v>
      </c>
      <c r="G42" s="65" cm="1">
        <f t="array" ref="G42">D42*(1+$C$4+E42)</f>
        <v>6609.92</v>
      </c>
      <c r="H42" s="20"/>
      <c r="I42" s="66" cm="1">
        <f t="array" ref="I42">ROUND(H42*(1+$C$5),0)</f>
        <v>0</v>
      </c>
      <c r="J42" s="65" cm="1">
        <f t="array" ref="J42">ROUND(H42*$C$6,0)</f>
        <v>0</v>
      </c>
      <c r="K42" s="65" cm="1">
        <f t="array" ref="K42">ROUND(H42*$C$7,0)</f>
        <v>0</v>
      </c>
      <c r="L42" s="67" cm="1">
        <f t="array" ref="L42">(J42-G42)/J42</f>
      </c>
      <c r="M42" s="67" cm="1">
        <f t="array" ref="M42">(K42-G42)/K42</f>
      </c>
      <c r="N42" t="s" s="68">
        <v>30</v>
      </c>
      <c r="O42" t="s" s="70">
        <v>30</v>
      </c>
      <c r="P42" t="s" s="70">
        <v>30</v>
      </c>
    </row>
    <row r="43" ht="17.15" customHeight="1">
      <c r="A43" t="s" s="59">
        <v>76</v>
      </c>
      <c r="B43" t="s" s="60">
        <v>82</v>
      </c>
      <c r="C43" s="61">
        <v>30</v>
      </c>
      <c r="D43" s="62" cm="1">
        <f t="array" ref="D43">'エプロン&amp;タオル類(40%)'!K15</f>
        <v>6415.36</v>
      </c>
      <c r="E43" s="63">
        <v>0.053</v>
      </c>
      <c r="F43" s="64">
        <v>0.4</v>
      </c>
      <c r="G43" s="65" cm="1">
        <f t="array" ref="G43">D43*(1+$C$4+E43)</f>
        <v>8038.44608</v>
      </c>
      <c r="H43" s="20">
        <v>20000</v>
      </c>
      <c r="I43" s="66" cm="1">
        <f t="array" ref="I43">ROUND(H43*(1+$C$5),0)</f>
        <v>22000</v>
      </c>
      <c r="J43" s="65" cm="1">
        <f t="array" ref="J43">ROUND(H43*$C$6,0)</f>
        <v>11000</v>
      </c>
      <c r="K43" s="65" cm="1">
        <f t="array" ref="K43">ROUND(H43*$C$7,0)</f>
        <v>12000</v>
      </c>
      <c r="L43" s="67" cm="1">
        <f t="array" ref="L43">(J43-G43)/J43</f>
        <v>0.269232174545455</v>
      </c>
      <c r="M43" s="67" cm="1">
        <f t="array" ref="M43">(K43-G43)/K43</f>
        <v>0.330129493333333</v>
      </c>
      <c r="N43" t="s" s="68">
        <v>30</v>
      </c>
      <c r="O43" t="s" s="70">
        <v>30</v>
      </c>
      <c r="P43" t="s" s="70">
        <v>30</v>
      </c>
    </row>
    <row r="44" ht="17.15" customHeight="1">
      <c r="A44" t="s" s="59">
        <v>76</v>
      </c>
      <c r="B44" t="s" s="60">
        <v>83</v>
      </c>
      <c r="C44" s="61">
        <v>50</v>
      </c>
      <c r="D44" s="62" cm="1">
        <f t="array" ref="D44">'エプロン&amp;タオル類(40%)'!K16</f>
        <v>6196.8</v>
      </c>
      <c r="E44" s="63">
        <v>0.091</v>
      </c>
      <c r="F44" s="64">
        <v>0.4</v>
      </c>
      <c r="G44" s="65" cm="1">
        <f t="array" ref="G44">D44*(1+$C$4+E44)</f>
        <v>8000.0688</v>
      </c>
      <c r="H44" s="20" cm="1">
        <f t="array" ref="H44">20000</f>
        <v>20000</v>
      </c>
      <c r="I44" s="66" cm="1">
        <f t="array" ref="I44">ROUND(H44*(1+$C$5),0)</f>
        <v>22000</v>
      </c>
      <c r="J44" s="65" cm="1">
        <f t="array" ref="J44">ROUND(H44*$C$6,0)</f>
        <v>11000</v>
      </c>
      <c r="K44" s="65" cm="1">
        <f t="array" ref="K44">ROUND(H44*$C$7,0)</f>
        <v>12000</v>
      </c>
      <c r="L44" s="67" cm="1">
        <f t="array" ref="L44">(J44-G44)/J44</f>
        <v>0.272721018181818</v>
      </c>
      <c r="M44" s="67" cm="1">
        <f t="array" ref="M44">(K44-G44)/K44</f>
        <v>0.3333276</v>
      </c>
      <c r="N44" t="s" s="68">
        <v>84</v>
      </c>
      <c r="O44" s="65">
        <v>11000</v>
      </c>
      <c r="P44" s="69" cm="1">
        <f t="array" ref="P44">I44-O44</f>
        <v>11000</v>
      </c>
    </row>
    <row r="45" ht="17.15" customHeight="1">
      <c r="A45" t="s" s="59">
        <v>76</v>
      </c>
      <c r="B45" t="s" s="60">
        <v>85</v>
      </c>
      <c r="C45" t="s" s="70">
        <v>30</v>
      </c>
      <c r="D45" s="62">
        <v>3240</v>
      </c>
      <c r="E45" s="63">
        <v>0.091</v>
      </c>
      <c r="F45" s="64">
        <v>0.4</v>
      </c>
      <c r="G45" s="65" cm="1">
        <f t="array" ref="G45">D45*(1+$C$4+E45)</f>
        <v>4182.84</v>
      </c>
      <c r="H45" s="20">
        <v>10500</v>
      </c>
      <c r="I45" s="66" cm="1">
        <f t="array" ref="I45">ROUND(H45*(1+$C$5),0)</f>
        <v>11550</v>
      </c>
      <c r="J45" s="65" cm="1">
        <f t="array" ref="J45">ROUND(H45*$C$6,0)</f>
        <v>5775</v>
      </c>
      <c r="K45" s="65" cm="1">
        <f t="array" ref="K45">ROUND(H45*$C$7,0)</f>
        <v>6300</v>
      </c>
      <c r="L45" s="67" cm="1">
        <f t="array" ref="L45">(J45-G45)/J45</f>
        <v>0.275698701298701</v>
      </c>
      <c r="M45" s="67" cm="1">
        <f t="array" ref="M45">(K45-G45)/K45</f>
        <v>0.336057142857143</v>
      </c>
      <c r="N45" t="s" s="68">
        <v>84</v>
      </c>
      <c r="O45" s="65">
        <v>11000</v>
      </c>
      <c r="P45" s="69" cm="1">
        <f t="array" ref="P45">I45-O45</f>
        <v>550</v>
      </c>
    </row>
    <row r="46" ht="1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</row>
    <row r="47" ht="15" customHeight="1">
      <c r="A47" t="s" s="72">
        <v>86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" customHeight="1">
      <c r="A48" t="s" s="72">
        <v>87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" customHeight="1">
      <c r="A49" t="s" s="72">
        <v>88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" customHeight="1">
      <c r="A50" t="s" s="72">
        <v>89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" customHeight="1">
      <c r="A51" t="s" s="72">
        <v>90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" customHeight="1">
      <c r="A52" t="s" s="72">
        <v>91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" customHeight="1">
      <c r="A53" t="s" s="72">
        <v>92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" customHeight="1">
      <c r="A54" t="s" s="72">
        <v>93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" customHeight="1">
      <c r="A55" t="s" s="72">
        <v>94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R31"/>
  <sheetViews>
    <sheetView workbookViewId="0" showGridLines="0" defaultGridColor="1"/>
  </sheetViews>
  <sheetFormatPr defaultColWidth="8.66667" defaultRowHeight="15" customHeight="1" outlineLevelRow="0" outlineLevelCol="0"/>
  <cols>
    <col min="1" max="1" width="10" style="73" customWidth="1"/>
    <col min="2" max="2" width="20" style="73" customWidth="1"/>
    <col min="3" max="3" width="17" style="73" customWidth="1"/>
    <col min="4" max="4" width="18" style="73" customWidth="1"/>
    <col min="5" max="6" width="6" style="73" customWidth="1"/>
    <col min="7" max="7" width="9" style="73" customWidth="1"/>
    <col min="8" max="8" width="7" style="73" customWidth="1"/>
    <col min="9" max="9" width="9" style="73" customWidth="1"/>
    <col min="10" max="11" width="8" style="73" customWidth="1"/>
    <col min="12" max="14" width="10" style="73" customWidth="1"/>
    <col min="15" max="16" width="11" style="73" customWidth="1"/>
    <col min="17" max="17" width="10" style="73" customWidth="1"/>
    <col min="18" max="18" width="12" style="73" customWidth="1"/>
    <col min="19" max="16384" width="8.67188" style="73" customWidth="1"/>
  </cols>
  <sheetData>
    <row r="1" ht="23.1" customHeight="1">
      <c r="A1" t="s" s="2">
        <v>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" customHeight="1">
      <c r="A3" s="3"/>
      <c r="B3" t="s" s="74">
        <v>96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7.15" customHeight="1">
      <c r="A4" s="3"/>
      <c r="B4" t="s" s="75">
        <v>97</v>
      </c>
      <c r="C4" s="76">
        <v>24</v>
      </c>
      <c r="D4" t="s" s="9">
        <v>98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17.15" customHeight="1">
      <c r="A5" s="3"/>
      <c r="B5" t="s" s="75">
        <v>99</v>
      </c>
      <c r="C5" s="76">
        <v>160</v>
      </c>
      <c r="D5" t="s" s="9">
        <v>98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5" customHeight="1">
      <c r="A6" s="3"/>
      <c r="B6" t="s" s="6">
        <v>100</v>
      </c>
      <c r="C6" s="7">
        <v>0.2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5" customHeight="1">
      <c r="A7" s="3"/>
      <c r="B7" t="s" s="6">
        <v>101</v>
      </c>
      <c r="C7" s="7">
        <v>0.35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5" customHeight="1">
      <c r="A8" s="3"/>
      <c r="B8" t="s" s="6">
        <v>3</v>
      </c>
      <c r="C8" s="7">
        <v>0.1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7.15" customHeight="1">
      <c r="A9" s="5"/>
      <c r="B9" t="s" s="77">
        <v>102</v>
      </c>
      <c r="C9" s="7">
        <v>0.091</v>
      </c>
      <c r="D9" t="s" s="78">
        <v>103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39.75" customHeight="1">
      <c r="A10" t="s" s="11">
        <v>104</v>
      </c>
      <c r="B10" t="s" s="11">
        <v>105</v>
      </c>
      <c r="C10" t="s" s="11">
        <v>106</v>
      </c>
      <c r="D10" t="s" s="11">
        <v>107</v>
      </c>
      <c r="E10" t="s" s="11">
        <v>9</v>
      </c>
      <c r="F10" t="s" s="11">
        <v>108</v>
      </c>
      <c r="G10" t="s" s="11">
        <v>109</v>
      </c>
      <c r="H10" t="s" s="11">
        <v>110</v>
      </c>
      <c r="I10" t="s" s="11">
        <v>111</v>
      </c>
      <c r="J10" t="s" s="11">
        <v>112</v>
      </c>
      <c r="K10" t="s" s="11">
        <v>113</v>
      </c>
      <c r="L10" t="s" s="11">
        <v>13</v>
      </c>
      <c r="M10" t="s" s="11">
        <v>14</v>
      </c>
      <c r="N10" t="s" s="11">
        <v>15</v>
      </c>
      <c r="O10" t="s" s="11">
        <v>114</v>
      </c>
      <c r="P10" t="s" s="11">
        <v>115</v>
      </c>
      <c r="Q10" t="s" s="11">
        <v>116</v>
      </c>
      <c r="R10" t="s" s="11">
        <v>117</v>
      </c>
    </row>
    <row r="11" ht="15" customHeight="1">
      <c r="A11" t="s" s="79">
        <v>118</v>
      </c>
      <c r="B11" t="s" s="80">
        <v>119</v>
      </c>
      <c r="C11" t="s" s="81">
        <v>120</v>
      </c>
      <c r="D11" t="s" s="82">
        <v>121</v>
      </c>
      <c r="E11" s="83">
        <v>20</v>
      </c>
      <c r="F11" t="s" s="84">
        <v>122</v>
      </c>
      <c r="G11" s="83">
        <v>31</v>
      </c>
      <c r="H11" s="85" cm="1">
        <f t="array" ref="H11">IF(F11="CNY",$C$4,$C$5)</f>
        <v>160</v>
      </c>
      <c r="I11" s="86" cm="1">
        <f t="array" ref="I11">G11*H11</f>
        <v>4960</v>
      </c>
      <c r="J11" s="86" cm="1">
        <f t="array" ref="J11">I11*$C$6</f>
        <v>992</v>
      </c>
      <c r="K11" s="86" cm="1">
        <f t="array" ref="K11">I11*$C$9</f>
        <v>451.36</v>
      </c>
      <c r="L11" s="86" cm="1">
        <f t="array" ref="L11">I11+J11+K11</f>
        <v>6403.36</v>
      </c>
      <c r="M11" s="86" cm="1">
        <f t="array" ref="M11">L11/$C$7</f>
        <v>18295.3142857143</v>
      </c>
      <c r="N11" s="87" cm="1">
        <f t="array" ref="N11">ROUND(M11*(1+$C$8),0)</f>
        <v>20125</v>
      </c>
      <c r="O11" s="88">
        <v>18000</v>
      </c>
      <c r="P11" s="86" cm="1">
        <f t="array" ref="P11">I11*E11</f>
        <v>99200</v>
      </c>
      <c r="Q11" s="86" cm="1">
        <f t="array" ref="Q11">K11*E11</f>
        <v>9027.200000000001</v>
      </c>
      <c r="R11" s="86" cm="1">
        <f t="array" ref="R11">M11*E11</f>
        <v>365906.285714286</v>
      </c>
    </row>
    <row r="12" ht="15" customHeight="1">
      <c r="A12" t="s" s="79">
        <v>118</v>
      </c>
      <c r="B12" s="89"/>
      <c r="C12" t="s" s="90">
        <v>123</v>
      </c>
      <c r="D12" s="91"/>
      <c r="E12" s="83">
        <v>20</v>
      </c>
      <c r="F12" t="s" s="84">
        <v>122</v>
      </c>
      <c r="G12" s="83">
        <v>31</v>
      </c>
      <c r="H12" s="85" cm="1">
        <f t="array" ref="H12">IF(F12="CNY",$C$4,$C$5)</f>
        <v>160</v>
      </c>
      <c r="I12" s="86" cm="1">
        <f t="array" ref="I12">G12*H12</f>
        <v>4960</v>
      </c>
      <c r="J12" s="86" cm="1">
        <f t="array" ref="J12">I12*$C$6</f>
        <v>992</v>
      </c>
      <c r="K12" s="86" cm="1">
        <f t="array" ref="K12">I12*$C$9</f>
        <v>451.36</v>
      </c>
      <c r="L12" s="86" cm="1">
        <f t="array" ref="L12">I12+J12+K12</f>
        <v>6403.36</v>
      </c>
      <c r="M12" s="86" cm="1">
        <f t="array" ref="M12">L12/$C$7</f>
        <v>18295.3142857143</v>
      </c>
      <c r="N12" s="87" cm="1">
        <f t="array" ref="N12">ROUND(M12*(1+$C$8),0)</f>
        <v>20125</v>
      </c>
      <c r="O12" s="88">
        <v>18000</v>
      </c>
      <c r="P12" s="86" cm="1">
        <f t="array" ref="P12">I12*E12</f>
        <v>99200</v>
      </c>
      <c r="Q12" s="86" cm="1">
        <f t="array" ref="Q12">K12*E12</f>
        <v>9027.200000000001</v>
      </c>
      <c r="R12" s="86" cm="1">
        <f t="array" ref="R12">M12*E12</f>
        <v>365906.285714286</v>
      </c>
    </row>
    <row r="13" ht="15" customHeight="1">
      <c r="A13" t="s" s="92">
        <v>124</v>
      </c>
      <c r="B13" t="s" s="93">
        <v>125</v>
      </c>
      <c r="C13" t="s" s="94">
        <v>126</v>
      </c>
      <c r="D13" t="s" s="95">
        <v>127</v>
      </c>
      <c r="E13" s="96">
        <v>20</v>
      </c>
      <c r="F13" t="s" s="97">
        <v>122</v>
      </c>
      <c r="G13" s="96">
        <v>25</v>
      </c>
      <c r="H13" s="98" cm="1">
        <f t="array" ref="H13">IF(F13="CNY",$C$4,$C$5)</f>
        <v>160</v>
      </c>
      <c r="I13" s="99" cm="1">
        <f t="array" ref="I13">G13*H13</f>
        <v>4000</v>
      </c>
      <c r="J13" s="99" cm="1">
        <f t="array" ref="J13">I13*$C$6</f>
        <v>800</v>
      </c>
      <c r="K13" s="99" cm="1">
        <f t="array" ref="K13">I13*$C$9</f>
        <v>364</v>
      </c>
      <c r="L13" s="99" cm="1">
        <f t="array" ref="L13">I13+J13+K13</f>
        <v>5164</v>
      </c>
      <c r="M13" s="99" cm="1">
        <f t="array" ref="M13">L13/$C$7</f>
        <v>14754.2857142857</v>
      </c>
      <c r="N13" s="100" cm="1">
        <f t="array" ref="N13">ROUND(M13*(1+$C$8),0)</f>
        <v>16230</v>
      </c>
      <c r="O13" s="101">
        <v>14500</v>
      </c>
      <c r="P13" s="99" cm="1">
        <f t="array" ref="P13">I13*E13</f>
        <v>80000</v>
      </c>
      <c r="Q13" s="99" cm="1">
        <f t="array" ref="Q13">K13*E13</f>
        <v>7280</v>
      </c>
      <c r="R13" s="99" cm="1">
        <f t="array" ref="R13">M13*E13</f>
        <v>295085.714285714</v>
      </c>
    </row>
    <row r="14" ht="15" customHeight="1">
      <c r="A14" t="s" s="92">
        <v>124</v>
      </c>
      <c r="B14" s="102"/>
      <c r="C14" t="s" s="103">
        <v>128</v>
      </c>
      <c r="D14" s="104"/>
      <c r="E14" s="96">
        <v>20</v>
      </c>
      <c r="F14" t="s" s="97">
        <v>122</v>
      </c>
      <c r="G14" s="96">
        <v>25</v>
      </c>
      <c r="H14" s="98" cm="1">
        <f t="array" ref="H14">IF(F14="CNY",$C$4,$C$5)</f>
        <v>160</v>
      </c>
      <c r="I14" s="99" cm="1">
        <f t="array" ref="I14">G14*H14</f>
        <v>4000</v>
      </c>
      <c r="J14" s="99" cm="1">
        <f t="array" ref="J14">I14*$C$6</f>
        <v>800</v>
      </c>
      <c r="K14" s="99" cm="1">
        <f t="array" ref="K14">I14*$C$9</f>
        <v>364</v>
      </c>
      <c r="L14" s="99" cm="1">
        <f t="array" ref="L14">I14+J14+K14</f>
        <v>5164</v>
      </c>
      <c r="M14" s="99" cm="1">
        <f t="array" ref="M14">L14/$C$7</f>
        <v>14754.2857142857</v>
      </c>
      <c r="N14" s="100" cm="1">
        <f t="array" ref="N14">ROUND(M14*(1+$C$8),0)</f>
        <v>16230</v>
      </c>
      <c r="O14" s="101">
        <v>14500</v>
      </c>
      <c r="P14" s="99" cm="1">
        <f t="array" ref="P14">I14*E14</f>
        <v>80000</v>
      </c>
      <c r="Q14" s="99" cm="1">
        <f t="array" ref="Q14">K14*E14</f>
        <v>7280</v>
      </c>
      <c r="R14" s="99" cm="1">
        <f t="array" ref="R14">M14*E14</f>
        <v>295085.714285714</v>
      </c>
    </row>
    <row r="15" ht="15" customHeight="1">
      <c r="A15" t="s" s="79">
        <v>129</v>
      </c>
      <c r="B15" t="s" s="80">
        <v>130</v>
      </c>
      <c r="C15" t="s" s="105">
        <v>131</v>
      </c>
      <c r="D15" t="s" s="82">
        <v>121</v>
      </c>
      <c r="E15" s="83">
        <v>15</v>
      </c>
      <c r="F15" t="s" s="84">
        <v>122</v>
      </c>
      <c r="G15" s="83">
        <v>33</v>
      </c>
      <c r="H15" s="85" cm="1">
        <f t="array" ref="H15">IF(F15="CNY",$C$4,$C$5)</f>
        <v>160</v>
      </c>
      <c r="I15" s="86" cm="1">
        <f t="array" ref="I15">G15*H15</f>
        <v>5280</v>
      </c>
      <c r="J15" s="86" cm="1">
        <f t="array" ref="J15">I15*$C$6</f>
        <v>1056</v>
      </c>
      <c r="K15" s="86" cm="1">
        <f t="array" ref="K15">I15*$C$9</f>
        <v>480.48</v>
      </c>
      <c r="L15" s="86" cm="1">
        <f t="array" ref="L15">I15+J15+K15</f>
        <v>6816.48</v>
      </c>
      <c r="M15" s="86" cm="1">
        <f t="array" ref="M15">L15/$C$7</f>
        <v>19475.6571428571</v>
      </c>
      <c r="N15" s="87" cm="1">
        <f t="array" ref="N15">ROUND(M15*(1+$C$8),0)</f>
        <v>21423</v>
      </c>
      <c r="O15" s="88">
        <v>19000</v>
      </c>
      <c r="P15" s="86" cm="1">
        <f t="array" ref="P15">I15*E15</f>
        <v>79200</v>
      </c>
      <c r="Q15" s="86" cm="1">
        <f t="array" ref="Q15">K15*E15</f>
        <v>7207.2</v>
      </c>
      <c r="R15" s="86" cm="1">
        <f t="array" ref="R15">M15*E15</f>
        <v>292134.857142857</v>
      </c>
    </row>
    <row r="16" ht="15" customHeight="1">
      <c r="A16" t="s" s="79">
        <v>129</v>
      </c>
      <c r="B16" s="89"/>
      <c r="C16" t="s" s="90">
        <v>123</v>
      </c>
      <c r="D16" s="91"/>
      <c r="E16" s="83">
        <v>25</v>
      </c>
      <c r="F16" t="s" s="84">
        <v>122</v>
      </c>
      <c r="G16" s="83">
        <v>33</v>
      </c>
      <c r="H16" s="85" cm="1">
        <f t="array" ref="H16">IF(F16="CNY",$C$4,$C$5)</f>
        <v>160</v>
      </c>
      <c r="I16" s="86" cm="1">
        <f t="array" ref="I16">G16*H16</f>
        <v>5280</v>
      </c>
      <c r="J16" s="86" cm="1">
        <f t="array" ref="J16">I16*$C$6</f>
        <v>1056</v>
      </c>
      <c r="K16" s="86" cm="1">
        <f t="array" ref="K16">I16*$C$9</f>
        <v>480.48</v>
      </c>
      <c r="L16" s="86" cm="1">
        <f t="array" ref="L16">I16+J16+K16</f>
        <v>6816.48</v>
      </c>
      <c r="M16" s="86" cm="1">
        <f t="array" ref="M16">L16/$C$7</f>
        <v>19475.6571428571</v>
      </c>
      <c r="N16" s="87" cm="1">
        <f t="array" ref="N16">ROUND(M16*(1+$C$8),0)</f>
        <v>21423</v>
      </c>
      <c r="O16" s="88">
        <v>19000</v>
      </c>
      <c r="P16" s="86" cm="1">
        <f t="array" ref="P16">I16*E16</f>
        <v>132000</v>
      </c>
      <c r="Q16" s="86" cm="1">
        <f t="array" ref="Q16">K16*E16</f>
        <v>12012</v>
      </c>
      <c r="R16" s="86" cm="1">
        <f t="array" ref="R16">M16*E16</f>
        <v>486891.428571428</v>
      </c>
    </row>
    <row r="17" ht="17.15" customHeight="1">
      <c r="A17" t="s" s="92">
        <v>132</v>
      </c>
      <c r="B17" t="s" s="93">
        <v>133</v>
      </c>
      <c r="C17" t="s" s="105">
        <v>131</v>
      </c>
      <c r="D17" t="s" s="95">
        <v>121</v>
      </c>
      <c r="E17" s="96">
        <v>20</v>
      </c>
      <c r="F17" t="s" s="97">
        <v>122</v>
      </c>
      <c r="G17" s="96">
        <v>30</v>
      </c>
      <c r="H17" s="98" cm="1">
        <f t="array" ref="H17">IF(F17="CNY",$C$4,$C$5)</f>
        <v>160</v>
      </c>
      <c r="I17" s="99" cm="1">
        <f t="array" ref="I17">G17*H17</f>
        <v>4800</v>
      </c>
      <c r="J17" s="99" cm="1">
        <f t="array" ref="J17">I17*$C$6</f>
        <v>960</v>
      </c>
      <c r="K17" s="99" cm="1">
        <f t="array" ref="K17">I17*$C$9</f>
        <v>436.8</v>
      </c>
      <c r="L17" s="99" cm="1">
        <f t="array" ref="L17">I17+J17+K17</f>
        <v>6196.8</v>
      </c>
      <c r="M17" s="99" cm="1">
        <f t="array" ref="M17">L17/$C$7</f>
        <v>17705.1428571429</v>
      </c>
      <c r="N17" s="100" cm="1">
        <f t="array" ref="N17">ROUND(M17*(1+$C$8),0)</f>
        <v>19476</v>
      </c>
      <c r="O17" s="101">
        <v>17500</v>
      </c>
      <c r="P17" s="99" cm="1">
        <f t="array" ref="P17">I17*E17</f>
        <v>96000</v>
      </c>
      <c r="Q17" s="99" cm="1">
        <f t="array" ref="Q17">K17*E17</f>
        <v>8736</v>
      </c>
      <c r="R17" s="99" cm="1">
        <f t="array" ref="R17">M17*E17</f>
        <v>354102.857142858</v>
      </c>
    </row>
    <row r="18" ht="15" customHeight="1">
      <c r="A18" t="s" s="92">
        <v>132</v>
      </c>
      <c r="B18" s="102"/>
      <c r="C18" t="s" s="81">
        <v>120</v>
      </c>
      <c r="D18" s="104"/>
      <c r="E18" s="96">
        <v>20</v>
      </c>
      <c r="F18" t="s" s="97">
        <v>122</v>
      </c>
      <c r="G18" s="96">
        <v>30</v>
      </c>
      <c r="H18" s="98" cm="1">
        <f t="array" ref="H18">IF(F18="CNY",$C$4,$C$5)</f>
        <v>160</v>
      </c>
      <c r="I18" s="99" cm="1">
        <f t="array" ref="I18">G18*H18</f>
        <v>4800</v>
      </c>
      <c r="J18" s="99" cm="1">
        <f t="array" ref="J18">I18*$C$6</f>
        <v>960</v>
      </c>
      <c r="K18" s="99" cm="1">
        <f t="array" ref="K18">I18*$C$9</f>
        <v>436.8</v>
      </c>
      <c r="L18" s="99" cm="1">
        <f t="array" ref="L18">I18+J18+K18</f>
        <v>6196.8</v>
      </c>
      <c r="M18" s="99" cm="1">
        <f t="array" ref="M18">L18/$C$7</f>
        <v>17705.1428571429</v>
      </c>
      <c r="N18" s="100" cm="1">
        <f t="array" ref="N18">ROUND(M18*(1+$C$8),0)</f>
        <v>19476</v>
      </c>
      <c r="O18" s="101">
        <v>17500</v>
      </c>
      <c r="P18" s="99" cm="1">
        <f t="array" ref="P18">I18*E18</f>
        <v>96000</v>
      </c>
      <c r="Q18" s="99" cm="1">
        <f t="array" ref="Q18">K18*E18</f>
        <v>8736</v>
      </c>
      <c r="R18" s="99" cm="1">
        <f t="array" ref="R18">M18*E18</f>
        <v>354102.857142858</v>
      </c>
    </row>
    <row r="19" ht="15" customHeight="1">
      <c r="A19" t="s" s="92">
        <v>132</v>
      </c>
      <c r="B19" s="102"/>
      <c r="C19" t="s" s="90">
        <v>123</v>
      </c>
      <c r="D19" s="104"/>
      <c r="E19" s="96">
        <v>20</v>
      </c>
      <c r="F19" t="s" s="97">
        <v>122</v>
      </c>
      <c r="G19" s="96">
        <v>30</v>
      </c>
      <c r="H19" s="98" cm="1">
        <f t="array" ref="H19">IF(F19="CNY",$C$4,$C$5)</f>
        <v>160</v>
      </c>
      <c r="I19" s="99" cm="1">
        <f t="array" ref="I19">G19*H19</f>
        <v>4800</v>
      </c>
      <c r="J19" s="99" cm="1">
        <f t="array" ref="J19">I19*$C$6</f>
        <v>960</v>
      </c>
      <c r="K19" s="99" cm="1">
        <f t="array" ref="K19">I19*$C$9</f>
        <v>436.8</v>
      </c>
      <c r="L19" s="99" cm="1">
        <f t="array" ref="L19">I19+J19+K19</f>
        <v>6196.8</v>
      </c>
      <c r="M19" s="99" cm="1">
        <f t="array" ref="M19">L19/$C$7</f>
        <v>17705.1428571429</v>
      </c>
      <c r="N19" s="100" cm="1">
        <f t="array" ref="N19">ROUND(M19*(1+$C$8),0)</f>
        <v>19476</v>
      </c>
      <c r="O19" s="101">
        <v>17500</v>
      </c>
      <c r="P19" s="99" cm="1">
        <f t="array" ref="P19">I19*E19</f>
        <v>96000</v>
      </c>
      <c r="Q19" s="99" cm="1">
        <f t="array" ref="Q19">K19*E19</f>
        <v>8736</v>
      </c>
      <c r="R19" s="99" cm="1">
        <f t="array" ref="R19">M19*E19</f>
        <v>354102.857142858</v>
      </c>
    </row>
    <row r="20" ht="15" customHeight="1">
      <c r="A20" t="s" s="79">
        <v>134</v>
      </c>
      <c r="B20" t="s" s="80">
        <v>135</v>
      </c>
      <c r="C20" t="s" s="90">
        <v>123</v>
      </c>
      <c r="D20" t="s" s="82">
        <v>121</v>
      </c>
      <c r="E20" s="83">
        <v>20</v>
      </c>
      <c r="F20" t="s" s="84">
        <v>122</v>
      </c>
      <c r="G20" s="83">
        <v>25</v>
      </c>
      <c r="H20" s="85" cm="1">
        <f t="array" ref="H20">IF(F20="CNY",$C$4,$C$5)</f>
        <v>160</v>
      </c>
      <c r="I20" s="86" cm="1">
        <f t="array" ref="I20">G20*H20</f>
        <v>4000</v>
      </c>
      <c r="J20" s="86" cm="1">
        <f t="array" ref="J20">I20*$C$6</f>
        <v>800</v>
      </c>
      <c r="K20" s="86" cm="1">
        <f t="array" ref="K20">I20*$C$9</f>
        <v>364</v>
      </c>
      <c r="L20" s="86" cm="1">
        <f t="array" ref="L20">I20+J20+K20</f>
        <v>5164</v>
      </c>
      <c r="M20" s="86" cm="1">
        <f t="array" ref="M20">L20/$C$7</f>
        <v>14754.2857142857</v>
      </c>
      <c r="N20" s="87" cm="1">
        <f t="array" ref="N20">ROUND(M20*(1+$C$8),0)</f>
        <v>16230</v>
      </c>
      <c r="O20" s="88">
        <v>14000</v>
      </c>
      <c r="P20" s="86" cm="1">
        <f t="array" ref="P20">I20*E20</f>
        <v>80000</v>
      </c>
      <c r="Q20" s="86" cm="1">
        <f t="array" ref="Q20">K20*E20</f>
        <v>7280</v>
      </c>
      <c r="R20" s="86" cm="1">
        <f t="array" ref="R20">M20*E20</f>
        <v>295085.714285714</v>
      </c>
    </row>
    <row r="21" ht="15" customHeight="1">
      <c r="A21" t="s" s="92">
        <v>136</v>
      </c>
      <c r="B21" t="s" s="93">
        <v>137</v>
      </c>
      <c r="C21" t="s" s="105">
        <v>131</v>
      </c>
      <c r="D21" t="s" s="95">
        <v>121</v>
      </c>
      <c r="E21" s="96">
        <v>20</v>
      </c>
      <c r="F21" t="s" s="97">
        <v>122</v>
      </c>
      <c r="G21" s="96">
        <v>25</v>
      </c>
      <c r="H21" s="98" cm="1">
        <f t="array" ref="H21">IF(F21="CNY",$C$4,$C$5)</f>
        <v>160</v>
      </c>
      <c r="I21" s="99" cm="1">
        <f t="array" ref="I21">G21*H21</f>
        <v>4000</v>
      </c>
      <c r="J21" s="99" cm="1">
        <f t="array" ref="J21">I21*$C$6</f>
        <v>800</v>
      </c>
      <c r="K21" s="99" cm="1">
        <f t="array" ref="K21">I21*$C$9</f>
        <v>364</v>
      </c>
      <c r="L21" s="99" cm="1">
        <f t="array" ref="L21">I21+J21+K21</f>
        <v>5164</v>
      </c>
      <c r="M21" s="99" cm="1">
        <f t="array" ref="M21">L21/$C$7</f>
        <v>14754.2857142857</v>
      </c>
      <c r="N21" s="100" cm="1">
        <f t="array" ref="N21">ROUND(M21*(1+$C$8),0)</f>
        <v>16230</v>
      </c>
      <c r="O21" s="101">
        <v>14500</v>
      </c>
      <c r="P21" s="99" cm="1">
        <f t="array" ref="P21">I21*E21</f>
        <v>80000</v>
      </c>
      <c r="Q21" s="99" cm="1">
        <f t="array" ref="Q21">K21*E21</f>
        <v>7280</v>
      </c>
      <c r="R21" s="99" cm="1">
        <f t="array" ref="R21">M21*E21</f>
        <v>295085.714285714</v>
      </c>
    </row>
    <row r="22" ht="15" customHeight="1">
      <c r="A22" t="s" s="92">
        <v>136</v>
      </c>
      <c r="B22" s="102"/>
      <c r="C22" t="s" s="106">
        <v>138</v>
      </c>
      <c r="D22" s="104"/>
      <c r="E22" s="96">
        <v>20</v>
      </c>
      <c r="F22" t="s" s="97">
        <v>122</v>
      </c>
      <c r="G22" s="96">
        <v>25</v>
      </c>
      <c r="H22" s="98" cm="1">
        <f t="array" ref="H22">IF(F22="CNY",$C$4,$C$5)</f>
        <v>160</v>
      </c>
      <c r="I22" s="99" cm="1">
        <f t="array" ref="I22">G22*H22</f>
        <v>4000</v>
      </c>
      <c r="J22" s="99" cm="1">
        <f t="array" ref="J22">I22*$C$6</f>
        <v>800</v>
      </c>
      <c r="K22" s="99" cm="1">
        <f t="array" ref="K22">I22*$C$9</f>
        <v>364</v>
      </c>
      <c r="L22" s="99" cm="1">
        <f t="array" ref="L22">I22+J22+K22</f>
        <v>5164</v>
      </c>
      <c r="M22" s="99" cm="1">
        <f t="array" ref="M22">L22/$C$7</f>
        <v>14754.2857142857</v>
      </c>
      <c r="N22" s="100" cm="1">
        <f t="array" ref="N22">ROUND(M22*(1+$C$8),0)</f>
        <v>16230</v>
      </c>
      <c r="O22" s="101">
        <v>14500</v>
      </c>
      <c r="P22" s="99" cm="1">
        <f t="array" ref="P22">I22*E22</f>
        <v>80000</v>
      </c>
      <c r="Q22" s="99" cm="1">
        <f t="array" ref="Q22">K22*E22</f>
        <v>7280</v>
      </c>
      <c r="R22" s="99" cm="1">
        <f t="array" ref="R22">M22*E22</f>
        <v>295085.714285714</v>
      </c>
    </row>
    <row r="23" ht="15" customHeight="1">
      <c r="A23" t="s" s="79">
        <v>139</v>
      </c>
      <c r="B23" t="s" s="80">
        <v>140</v>
      </c>
      <c r="C23" t="s" s="105">
        <v>131</v>
      </c>
      <c r="D23" t="s" s="82">
        <v>121</v>
      </c>
      <c r="E23" s="83">
        <v>25</v>
      </c>
      <c r="F23" t="s" s="84">
        <v>141</v>
      </c>
      <c r="G23" s="83">
        <v>225</v>
      </c>
      <c r="H23" s="85" cm="1">
        <f t="array" ref="H23">IF(F23="CNY",$C$4,$C$5)</f>
        <v>24</v>
      </c>
      <c r="I23" s="86" cm="1">
        <f t="array" ref="I23">G23*H23</f>
        <v>5400</v>
      </c>
      <c r="J23" s="86" cm="1">
        <f t="array" ref="J23">I23*$C$6</f>
        <v>1080</v>
      </c>
      <c r="K23" s="86" cm="1">
        <f t="array" ref="K23">I23*$C$9</f>
        <v>491.4</v>
      </c>
      <c r="L23" s="86" cm="1">
        <f t="array" ref="L23">I23+J23+K23</f>
        <v>6971.4</v>
      </c>
      <c r="M23" s="86" cm="1">
        <f t="array" ref="M23">L23/$C$7</f>
        <v>19918.2857142857</v>
      </c>
      <c r="N23" s="87" cm="1">
        <f t="array" ref="N23">ROUND(M23*(1+$C$8),0)</f>
        <v>21910</v>
      </c>
      <c r="O23" t="s" s="107">
        <v>30</v>
      </c>
      <c r="P23" s="86" cm="1">
        <f t="array" ref="P23">I23*E23</f>
        <v>135000</v>
      </c>
      <c r="Q23" s="86" cm="1">
        <f t="array" ref="Q23">K23*E23</f>
        <v>12285</v>
      </c>
      <c r="R23" s="86" cm="1">
        <f t="array" ref="R23">M23*E23</f>
        <v>497957.142857143</v>
      </c>
    </row>
    <row r="24" ht="15" customHeight="1">
      <c r="A24" t="s" s="79">
        <v>139</v>
      </c>
      <c r="B24" s="89"/>
      <c r="C24" t="s" s="106">
        <v>138</v>
      </c>
      <c r="D24" s="91"/>
      <c r="E24" s="83">
        <v>25</v>
      </c>
      <c r="F24" t="s" s="84">
        <v>141</v>
      </c>
      <c r="G24" s="83">
        <v>225</v>
      </c>
      <c r="H24" s="85" cm="1">
        <f t="array" ref="H24">IF(F24="CNY",$C$4,$C$5)</f>
        <v>24</v>
      </c>
      <c r="I24" s="86" cm="1">
        <f t="array" ref="I24">G24*H24</f>
        <v>5400</v>
      </c>
      <c r="J24" s="86" cm="1">
        <f t="array" ref="J24">I24*$C$6</f>
        <v>1080</v>
      </c>
      <c r="K24" s="86" cm="1">
        <f t="array" ref="K24">I24*$C$9</f>
        <v>491.4</v>
      </c>
      <c r="L24" s="86" cm="1">
        <f t="array" ref="L24">I24+J24+K24</f>
        <v>6971.4</v>
      </c>
      <c r="M24" s="86" cm="1">
        <f t="array" ref="M24">L24/$C$7</f>
        <v>19918.2857142857</v>
      </c>
      <c r="N24" s="87" cm="1">
        <f t="array" ref="N24">ROUND(M24*(1+$C$8),0)</f>
        <v>21910</v>
      </c>
      <c r="O24" t="s" s="107">
        <v>30</v>
      </c>
      <c r="P24" s="86" cm="1">
        <f t="array" ref="P24">I24*E24</f>
        <v>135000</v>
      </c>
      <c r="Q24" s="86" cm="1">
        <f t="array" ref="Q24">K24*E24</f>
        <v>12285</v>
      </c>
      <c r="R24" s="86" cm="1">
        <f t="array" ref="R24">M24*E24</f>
        <v>497957.142857143</v>
      </c>
    </row>
    <row r="25" ht="17.15" customHeight="1">
      <c r="A25" t="s" s="92">
        <v>142</v>
      </c>
      <c r="B25" t="s" s="92">
        <v>143</v>
      </c>
      <c r="C25" t="s" s="105">
        <v>131</v>
      </c>
      <c r="D25" t="s" s="95">
        <v>127</v>
      </c>
      <c r="E25" s="96">
        <v>30</v>
      </c>
      <c r="F25" t="s" s="97">
        <v>141</v>
      </c>
      <c r="G25" s="96">
        <v>210</v>
      </c>
      <c r="H25" s="98" cm="1">
        <f t="array" ref="H25">IF(F25="CNY",$C$4,$C$5)</f>
        <v>24</v>
      </c>
      <c r="I25" s="99" cm="1">
        <f t="array" ref="I25">G25*H25</f>
        <v>5040</v>
      </c>
      <c r="J25" s="99" cm="1">
        <f t="array" ref="J25">I25*$C$6</f>
        <v>1008</v>
      </c>
      <c r="K25" s="99" cm="1">
        <f t="array" ref="K25">I25*$C$9</f>
        <v>458.64</v>
      </c>
      <c r="L25" s="99" cm="1">
        <f t="array" ref="L25">I25+J25+K25</f>
        <v>6506.64</v>
      </c>
      <c r="M25" s="99" cm="1">
        <f t="array" ref="M25">L25/$C$7</f>
        <v>18590.4</v>
      </c>
      <c r="N25" s="100" cm="1">
        <f t="array" ref="N25">ROUND(M25*(1+$C$8),0)</f>
        <v>20449</v>
      </c>
      <c r="O25" t="s" s="108">
        <v>30</v>
      </c>
      <c r="P25" s="99" cm="1">
        <f t="array" ref="P25">I25*E25</f>
        <v>151200</v>
      </c>
      <c r="Q25" s="99" cm="1">
        <f t="array" ref="Q25">K25*E25</f>
        <v>13759.2</v>
      </c>
      <c r="R25" s="99" cm="1">
        <f t="array" ref="R25">M25*E25</f>
        <v>557712</v>
      </c>
    </row>
    <row r="26" ht="15" customHeight="1">
      <c r="A26" t="s" s="79">
        <v>144</v>
      </c>
      <c r="B26" t="s" s="80">
        <v>145</v>
      </c>
      <c r="C26" t="s" s="105">
        <v>131</v>
      </c>
      <c r="D26" t="s" s="82">
        <v>127</v>
      </c>
      <c r="E26" s="83">
        <v>20</v>
      </c>
      <c r="F26" t="s" s="84">
        <v>122</v>
      </c>
      <c r="G26" s="83">
        <v>31</v>
      </c>
      <c r="H26" s="85" cm="1">
        <f t="array" ref="H26">IF(F26="CNY",$C$4,$C$5)</f>
        <v>160</v>
      </c>
      <c r="I26" s="86" cm="1">
        <f t="array" ref="I26">G26*H26</f>
        <v>4960</v>
      </c>
      <c r="J26" s="86" cm="1">
        <f t="array" ref="J26">I26*$C$6</f>
        <v>992</v>
      </c>
      <c r="K26" s="86" cm="1">
        <f t="array" ref="K26">I26*$C$9</f>
        <v>451.36</v>
      </c>
      <c r="L26" s="86" cm="1">
        <f t="array" ref="L26">I26+J26+K26</f>
        <v>6403.36</v>
      </c>
      <c r="M26" s="86" cm="1">
        <f t="array" ref="M26">L26/$C$7</f>
        <v>18295.3142857143</v>
      </c>
      <c r="N26" s="87" cm="1">
        <f t="array" ref="N26">ROUND(M26*(1+$C$8),0)</f>
        <v>20125</v>
      </c>
      <c r="O26" s="88">
        <v>18500</v>
      </c>
      <c r="P26" s="86" cm="1">
        <f t="array" ref="P26">I26*E26</f>
        <v>99200</v>
      </c>
      <c r="Q26" s="86" cm="1">
        <f t="array" ref="Q26">K26*E26</f>
        <v>9027.200000000001</v>
      </c>
      <c r="R26" s="86" cm="1">
        <f t="array" ref="R26">M26*E26</f>
        <v>365906.285714286</v>
      </c>
    </row>
    <row r="27" ht="15" customHeight="1">
      <c r="A27" t="s" s="79">
        <v>144</v>
      </c>
      <c r="B27" s="89"/>
      <c r="C27" t="s" s="94">
        <v>126</v>
      </c>
      <c r="D27" s="91"/>
      <c r="E27" s="83">
        <v>20</v>
      </c>
      <c r="F27" t="s" s="84">
        <v>122</v>
      </c>
      <c r="G27" s="83">
        <v>31</v>
      </c>
      <c r="H27" s="85" cm="1">
        <f t="array" ref="H27">IF(F27="CNY",$C$4,$C$5)</f>
        <v>160</v>
      </c>
      <c r="I27" s="86" cm="1">
        <f t="array" ref="I27">G27*H27</f>
        <v>4960</v>
      </c>
      <c r="J27" s="86" cm="1">
        <f t="array" ref="J27">I27*$C$6</f>
        <v>992</v>
      </c>
      <c r="K27" s="86" cm="1">
        <f t="array" ref="K27">I27*$C$9</f>
        <v>451.36</v>
      </c>
      <c r="L27" s="86" cm="1">
        <f t="array" ref="L27">I27+J27+K27</f>
        <v>6403.36</v>
      </c>
      <c r="M27" s="86" cm="1">
        <f t="array" ref="M27">L27/$C$7</f>
        <v>18295.3142857143</v>
      </c>
      <c r="N27" s="87" cm="1">
        <f t="array" ref="N27">ROUND(M27*(1+$C$8),0)</f>
        <v>20125</v>
      </c>
      <c r="O27" s="88">
        <v>18500</v>
      </c>
      <c r="P27" s="86" cm="1">
        <f t="array" ref="P27">I27*E27</f>
        <v>99200</v>
      </c>
      <c r="Q27" s="86" cm="1">
        <f t="array" ref="Q27">K27*E27</f>
        <v>9027.200000000001</v>
      </c>
      <c r="R27" s="86" cm="1">
        <f t="array" ref="R27">M27*E27</f>
        <v>365906.285714286</v>
      </c>
    </row>
    <row r="28" ht="15" customHeight="1">
      <c r="A28" t="s" s="79">
        <v>144</v>
      </c>
      <c r="B28" s="89"/>
      <c r="C28" t="s" s="103">
        <v>128</v>
      </c>
      <c r="D28" s="91"/>
      <c r="E28" s="83">
        <v>20</v>
      </c>
      <c r="F28" t="s" s="84">
        <v>122</v>
      </c>
      <c r="G28" s="83">
        <v>31</v>
      </c>
      <c r="H28" s="85" cm="1">
        <f t="array" ref="H28">IF(F28="CNY",$C$4,$C$5)</f>
        <v>160</v>
      </c>
      <c r="I28" s="86" cm="1">
        <f t="array" ref="I28">G28*H28</f>
        <v>4960</v>
      </c>
      <c r="J28" s="86" cm="1">
        <f t="array" ref="J28">I28*$C$6</f>
        <v>992</v>
      </c>
      <c r="K28" s="86" cm="1">
        <f t="array" ref="K28">I28*$C$9</f>
        <v>451.36</v>
      </c>
      <c r="L28" s="86" cm="1">
        <f t="array" ref="L28">I28+J28+K28</f>
        <v>6403.36</v>
      </c>
      <c r="M28" s="86" cm="1">
        <f t="array" ref="M28">L28/$C$7</f>
        <v>18295.3142857143</v>
      </c>
      <c r="N28" s="87" cm="1">
        <f t="array" ref="N28">ROUND(M28*(1+$C$8),0)</f>
        <v>20125</v>
      </c>
      <c r="O28" s="88">
        <v>18500</v>
      </c>
      <c r="P28" s="86" cm="1">
        <f t="array" ref="P28">I28*E28</f>
        <v>99200</v>
      </c>
      <c r="Q28" s="86" cm="1">
        <f t="array" ref="Q28">K28*E28</f>
        <v>9027.200000000001</v>
      </c>
      <c r="R28" s="86" cm="1">
        <f t="array" ref="R28">M28*E28</f>
        <v>365906.285714286</v>
      </c>
    </row>
    <row r="29" ht="15" customHeight="1">
      <c r="A29" t="s" s="92">
        <v>146</v>
      </c>
      <c r="B29" t="s" s="93">
        <v>147</v>
      </c>
      <c r="C29" t="s" s="94">
        <v>126</v>
      </c>
      <c r="D29" t="s" s="95">
        <v>127</v>
      </c>
      <c r="E29" s="96">
        <v>25</v>
      </c>
      <c r="F29" t="s" s="97">
        <v>141</v>
      </c>
      <c r="G29" s="96">
        <v>255</v>
      </c>
      <c r="H29" s="98" cm="1">
        <f t="array" ref="H29">IF(F29="CNY",$C$4,$C$5)</f>
        <v>24</v>
      </c>
      <c r="I29" s="99" cm="1">
        <f t="array" ref="I29">G29*H29</f>
        <v>6120</v>
      </c>
      <c r="J29" s="99" cm="1">
        <f t="array" ref="J29">I29*$C$6</f>
        <v>1224</v>
      </c>
      <c r="K29" s="99" cm="1">
        <f t="array" ref="K29">I29*$C$9</f>
        <v>556.92</v>
      </c>
      <c r="L29" s="99" cm="1">
        <f t="array" ref="L29">I29+J29+K29</f>
        <v>7900.92</v>
      </c>
      <c r="M29" s="99" cm="1">
        <f t="array" ref="M29">L29/$C$7</f>
        <v>22574.0571428571</v>
      </c>
      <c r="N29" s="100" cm="1">
        <f t="array" ref="N29">ROUND(M29*(1+$C$8),0)</f>
        <v>24831</v>
      </c>
      <c r="O29" t="s" s="108">
        <v>30</v>
      </c>
      <c r="P29" s="99" cm="1">
        <f t="array" ref="P29">I29*E29</f>
        <v>153000</v>
      </c>
      <c r="Q29" s="99" cm="1">
        <f t="array" ref="Q29">K29*E29</f>
        <v>13923</v>
      </c>
      <c r="R29" s="99" cm="1">
        <f t="array" ref="R29">M29*E29</f>
        <v>564351.4285714281</v>
      </c>
    </row>
    <row r="30" ht="15" customHeight="1">
      <c r="A30" t="s" s="92">
        <v>146</v>
      </c>
      <c r="B30" s="102"/>
      <c r="C30" t="s" s="103">
        <v>128</v>
      </c>
      <c r="D30" s="104"/>
      <c r="E30" s="96">
        <v>25</v>
      </c>
      <c r="F30" t="s" s="97">
        <v>141</v>
      </c>
      <c r="G30" s="96">
        <v>255</v>
      </c>
      <c r="H30" s="98" cm="1">
        <f t="array" ref="H30">IF(F30="CNY",$C$4,$C$5)</f>
        <v>24</v>
      </c>
      <c r="I30" s="99" cm="1">
        <f t="array" ref="I30">G30*H30</f>
        <v>6120</v>
      </c>
      <c r="J30" s="99" cm="1">
        <f t="array" ref="J30">I30*$C$6</f>
        <v>1224</v>
      </c>
      <c r="K30" s="99" cm="1">
        <f t="array" ref="K30">I30*$C$9</f>
        <v>556.92</v>
      </c>
      <c r="L30" s="99" cm="1">
        <f t="array" ref="L30">I30+J30+K30</f>
        <v>7900.92</v>
      </c>
      <c r="M30" s="99" cm="1">
        <f t="array" ref="M30">L30/$C$7</f>
        <v>22574.0571428571</v>
      </c>
      <c r="N30" s="100" cm="1">
        <f t="array" ref="N30">ROUND(M30*(1+$C$8),0)</f>
        <v>24831</v>
      </c>
      <c r="O30" t="s" s="108">
        <v>30</v>
      </c>
      <c r="P30" s="99" cm="1">
        <f t="array" ref="P30">I30*E30</f>
        <v>153000</v>
      </c>
      <c r="Q30" s="99" cm="1">
        <f t="array" ref="Q30">K30*E30</f>
        <v>13923</v>
      </c>
      <c r="R30" s="99" cm="1">
        <f t="array" ref="R30">M30*E30</f>
        <v>564351.4285714281</v>
      </c>
    </row>
    <row r="31" ht="15" customHeight="1">
      <c r="A31" t="s" s="109">
        <v>148</v>
      </c>
      <c r="B31" s="110"/>
      <c r="C31" s="110"/>
      <c r="D31" s="110"/>
      <c r="E31" s="111" cm="1">
        <f t="array" ref="E31">SUM(E11:E30)</f>
        <v>430</v>
      </c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2" cm="1">
        <f t="array" ref="P31">SUM(P11:P30)</f>
        <v>2122400</v>
      </c>
      <c r="Q31" s="112" cm="1">
        <f t="array" ref="Q31">SUM(Q11:Q30)</f>
        <v>193138.4</v>
      </c>
      <c r="R31" s="112" cm="1">
        <f t="array" ref="R31">SUM(R11:R30)</f>
        <v>7828624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3"/>
  <sheetViews>
    <sheetView workbookViewId="0" showGridLines="0" defaultGridColor="1"/>
  </sheetViews>
  <sheetFormatPr defaultColWidth="8.66667" defaultRowHeight="15" customHeight="1" outlineLevelRow="0" outlineLevelCol="0"/>
  <cols>
    <col min="1" max="1" width="29" style="113" customWidth="1"/>
    <col min="2" max="2" width="10" style="113" customWidth="1"/>
    <col min="3" max="3" width="22" style="113" customWidth="1"/>
    <col min="4" max="4" width="20" style="113" customWidth="1"/>
    <col min="5" max="5" width="7" style="113" customWidth="1"/>
    <col min="6" max="6" width="14" style="113" customWidth="1"/>
    <col min="7" max="16384" width="8.67188" style="113" customWidth="1"/>
  </cols>
  <sheetData>
    <row r="1" ht="23.1" customHeight="1">
      <c r="A1" t="s" s="2">
        <v>149</v>
      </c>
      <c r="B1" s="3"/>
      <c r="C1" s="3"/>
      <c r="D1" s="3"/>
      <c r="E1" s="3"/>
      <c r="F1" s="3"/>
    </row>
    <row r="2" ht="15" customHeight="1">
      <c r="A2" s="5"/>
      <c r="B2" s="5"/>
      <c r="C2" s="5"/>
      <c r="D2" s="5"/>
      <c r="E2" s="5"/>
      <c r="F2" s="5"/>
    </row>
    <row r="3" ht="15" customHeight="1">
      <c r="A3" t="s" s="114">
        <v>150</v>
      </c>
      <c r="B3" t="s" s="114">
        <v>104</v>
      </c>
      <c r="C3" t="s" s="114">
        <v>105</v>
      </c>
      <c r="D3" t="s" s="114">
        <v>151</v>
      </c>
      <c r="E3" t="s" s="114">
        <v>9</v>
      </c>
      <c r="F3" t="s" s="114">
        <v>152</v>
      </c>
    </row>
    <row r="4" ht="117.75" customHeight="1">
      <c r="A4" s="115"/>
      <c r="B4" t="s" s="116">
        <v>118</v>
      </c>
      <c r="C4" t="s" s="117">
        <v>119</v>
      </c>
      <c r="D4" t="s" s="118">
        <v>153</v>
      </c>
      <c r="E4" s="119">
        <v>40</v>
      </c>
      <c r="F4" s="120">
        <v>20125</v>
      </c>
    </row>
    <row r="5" ht="117.75" customHeight="1">
      <c r="A5" s="121"/>
      <c r="B5" t="s" s="122">
        <v>124</v>
      </c>
      <c r="C5" t="s" s="123">
        <v>125</v>
      </c>
      <c r="D5" t="s" s="124">
        <v>154</v>
      </c>
      <c r="E5" s="125">
        <v>40</v>
      </c>
      <c r="F5" s="126">
        <v>16230</v>
      </c>
    </row>
    <row r="6" ht="117.75" customHeight="1">
      <c r="A6" s="115"/>
      <c r="B6" t="s" s="116">
        <v>129</v>
      </c>
      <c r="C6" t="s" s="117">
        <v>130</v>
      </c>
      <c r="D6" t="s" s="118">
        <v>155</v>
      </c>
      <c r="E6" s="119">
        <v>40</v>
      </c>
      <c r="F6" s="120">
        <v>21423</v>
      </c>
    </row>
    <row r="7" ht="117.75" customHeight="1">
      <c r="A7" s="121"/>
      <c r="B7" t="s" s="122">
        <v>132</v>
      </c>
      <c r="C7" t="s" s="123">
        <v>133</v>
      </c>
      <c r="D7" t="s" s="124">
        <v>156</v>
      </c>
      <c r="E7" s="125">
        <v>60</v>
      </c>
      <c r="F7" s="126">
        <v>19476</v>
      </c>
    </row>
    <row r="8" ht="117.75" customHeight="1">
      <c r="A8" s="115"/>
      <c r="B8" t="s" s="116">
        <v>134</v>
      </c>
      <c r="C8" t="s" s="117">
        <v>135</v>
      </c>
      <c r="D8" t="s" s="118">
        <v>157</v>
      </c>
      <c r="E8" s="119">
        <v>20</v>
      </c>
      <c r="F8" s="120">
        <v>16230</v>
      </c>
    </row>
    <row r="9" ht="117.75" customHeight="1">
      <c r="A9" s="121"/>
      <c r="B9" t="s" s="122">
        <v>136</v>
      </c>
      <c r="C9" t="s" s="123">
        <v>137</v>
      </c>
      <c r="D9" t="s" s="124">
        <v>158</v>
      </c>
      <c r="E9" s="125">
        <v>40</v>
      </c>
      <c r="F9" s="126">
        <v>16230</v>
      </c>
    </row>
    <row r="10" ht="117.75" customHeight="1">
      <c r="A10" s="115"/>
      <c r="B10" t="s" s="116">
        <v>139</v>
      </c>
      <c r="C10" t="s" s="117">
        <v>140</v>
      </c>
      <c r="D10" t="s" s="118">
        <v>158</v>
      </c>
      <c r="E10" s="119">
        <v>50</v>
      </c>
      <c r="F10" s="120">
        <v>21910</v>
      </c>
    </row>
    <row r="11" ht="117.75" customHeight="1">
      <c r="A11" s="121"/>
      <c r="B11" t="s" s="122">
        <v>142</v>
      </c>
      <c r="C11" t="s" s="122">
        <v>143</v>
      </c>
      <c r="D11" t="s" s="124">
        <v>159</v>
      </c>
      <c r="E11" s="125">
        <v>30</v>
      </c>
      <c r="F11" s="126">
        <v>20449</v>
      </c>
    </row>
    <row r="12" ht="117.75" customHeight="1">
      <c r="A12" s="115"/>
      <c r="B12" t="s" s="116">
        <v>144</v>
      </c>
      <c r="C12" t="s" s="117">
        <v>145</v>
      </c>
      <c r="D12" t="s" s="118">
        <v>160</v>
      </c>
      <c r="E12" s="119">
        <v>60</v>
      </c>
      <c r="F12" s="120">
        <v>20125</v>
      </c>
    </row>
    <row r="13" ht="117.75" customHeight="1">
      <c r="A13" s="121"/>
      <c r="B13" t="s" s="122">
        <v>146</v>
      </c>
      <c r="C13" t="s" s="123">
        <v>147</v>
      </c>
      <c r="D13" t="s" s="124">
        <v>154</v>
      </c>
      <c r="E13" s="125">
        <v>50</v>
      </c>
      <c r="F13" s="126">
        <v>24831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P23"/>
  <sheetViews>
    <sheetView workbookViewId="0" showGridLines="0" defaultGridColor="1"/>
  </sheetViews>
  <sheetFormatPr defaultColWidth="8.66667" defaultRowHeight="15" customHeight="1" outlineLevelRow="0" outlineLevelCol="0"/>
  <cols>
    <col min="1" max="1" width="13" style="127" customWidth="1"/>
    <col min="2" max="2" width="15" style="127" customWidth="1"/>
    <col min="3" max="4" width="6" style="127" customWidth="1"/>
    <col min="5" max="5" width="10" style="127" customWidth="1"/>
    <col min="6" max="6" width="7" style="127" customWidth="1"/>
    <col min="7" max="7" width="10" style="127" customWidth="1"/>
    <col min="8" max="9" width="8" style="127" customWidth="1"/>
    <col min="10" max="10" width="10" style="127" customWidth="1"/>
    <col min="11" max="14" width="11" style="127" customWidth="1"/>
    <col min="15" max="16" width="12" style="127" customWidth="1"/>
    <col min="17" max="16384" width="8.67188" style="127" customWidth="1"/>
  </cols>
  <sheetData>
    <row r="1" ht="21" customHeight="1">
      <c r="A1" t="s" s="2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t="s" s="128">
        <v>162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3.5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6" customHeight="1">
      <c r="A4" s="3"/>
      <c r="B4" t="s" s="75">
        <v>99</v>
      </c>
      <c r="C4" s="76">
        <v>160</v>
      </c>
      <c r="D4" t="s" s="9">
        <v>98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6" customHeight="1">
      <c r="A5" s="3"/>
      <c r="B5" t="s" s="6">
        <v>100</v>
      </c>
      <c r="C5" s="7">
        <v>0.2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6" customHeight="1">
      <c r="A6" s="3"/>
      <c r="B6" t="s" s="6">
        <v>101</v>
      </c>
      <c r="C6" s="7">
        <v>0.4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6" customHeight="1">
      <c r="A7" s="3"/>
      <c r="B7" t="s" s="6">
        <v>3</v>
      </c>
      <c r="C7" s="7">
        <v>0.1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6" customHeight="1">
      <c r="A8" s="3"/>
      <c r="B8" t="s" s="6">
        <v>11</v>
      </c>
      <c r="C8" s="7">
        <v>0.053</v>
      </c>
      <c r="D8" t="s" s="129">
        <v>163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3.55" customHeight="1">
      <c r="A9" s="5"/>
      <c r="B9" s="5"/>
      <c r="C9" s="1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37.5" customHeight="1">
      <c r="A10" t="s" s="11">
        <v>164</v>
      </c>
      <c r="B10" t="s" s="11">
        <v>165</v>
      </c>
      <c r="C10" t="s" s="11">
        <v>9</v>
      </c>
      <c r="D10" t="s" s="11">
        <v>108</v>
      </c>
      <c r="E10" t="s" s="12">
        <v>166</v>
      </c>
      <c r="F10" t="s" s="11">
        <v>110</v>
      </c>
      <c r="G10" t="s" s="11">
        <v>10</v>
      </c>
      <c r="H10" t="s" s="11">
        <v>112</v>
      </c>
      <c r="I10" t="s" s="11">
        <v>113</v>
      </c>
      <c r="J10" t="s" s="11">
        <v>13</v>
      </c>
      <c r="K10" t="s" s="11">
        <v>14</v>
      </c>
      <c r="L10" t="s" s="11">
        <v>15</v>
      </c>
      <c r="M10" t="s" s="12">
        <v>167</v>
      </c>
      <c r="N10" t="s" s="11">
        <v>168</v>
      </c>
      <c r="O10" t="s" s="11">
        <v>115</v>
      </c>
      <c r="P10" t="s" s="11">
        <v>117</v>
      </c>
    </row>
    <row r="11" ht="16" customHeight="1">
      <c r="A11" t="s" s="130">
        <v>169</v>
      </c>
      <c r="B11" t="s" s="131">
        <v>170</v>
      </c>
      <c r="C11" s="132">
        <v>20</v>
      </c>
      <c r="D11" t="s" s="133">
        <v>122</v>
      </c>
      <c r="E11" s="134">
        <v>57.78</v>
      </c>
      <c r="F11" s="135" cm="1">
        <f t="array" ref="F11">$C$4</f>
        <v>160</v>
      </c>
      <c r="G11" s="136" cm="1">
        <f t="array" ref="G11">E11*F11</f>
        <v>9244.799999999999</v>
      </c>
      <c r="H11" s="136" cm="1">
        <f t="array" ref="H11">G11*$C$5</f>
        <v>1848.96</v>
      </c>
      <c r="I11" s="136" cm="1">
        <f t="array" ref="I11">G11*$C$8</f>
        <v>489.9744</v>
      </c>
      <c r="J11" s="136" cm="1">
        <f t="array" ref="J11">G11+H11+I11</f>
        <v>11583.7344</v>
      </c>
      <c r="K11" s="136" cm="1">
        <f t="array" ref="K11">J11/$C$6</f>
        <v>28959.336</v>
      </c>
      <c r="L11" s="137" cm="1">
        <f t="array" ref="L11">ROUND(K11*(1+$C$7),0)</f>
        <v>31855</v>
      </c>
      <c r="M11" s="136">
        <v>26180</v>
      </c>
      <c r="N11" s="138" cm="1">
        <f t="array" ref="N11">L11-M11</f>
        <v>5675</v>
      </c>
      <c r="O11" s="136" cm="1">
        <f t="array" ref="O11">G11*C11</f>
        <v>184896</v>
      </c>
      <c r="P11" s="136" cm="1">
        <f t="array" ref="P11">K11*C11</f>
        <v>579186.72</v>
      </c>
    </row>
    <row r="12" ht="16" customHeight="1">
      <c r="A12" t="s" s="139">
        <v>169</v>
      </c>
      <c r="B12" t="s" s="140">
        <v>171</v>
      </c>
      <c r="C12" s="141">
        <v>20</v>
      </c>
      <c r="D12" t="s" s="142">
        <v>122</v>
      </c>
      <c r="E12" s="143">
        <v>60.63</v>
      </c>
      <c r="F12" s="144" cm="1">
        <f t="array" ref="F12">$C$4</f>
        <v>160</v>
      </c>
      <c r="G12" s="145" cm="1">
        <f t="array" ref="G12">E12*F12</f>
        <v>9700.799999999999</v>
      </c>
      <c r="H12" s="145" cm="1">
        <f t="array" ref="H12">G12*$C$5</f>
        <v>1940.16</v>
      </c>
      <c r="I12" s="145" cm="1">
        <f t="array" ref="I12">G12*$C$8</f>
        <v>514.1424</v>
      </c>
      <c r="J12" s="145" cm="1">
        <f t="array" ref="J12">G12+H12+I12</f>
        <v>12155.1024</v>
      </c>
      <c r="K12" s="145" cm="1">
        <f t="array" ref="K12">J12/$C$6</f>
        <v>30387.756</v>
      </c>
      <c r="L12" s="146" cm="1">
        <f t="array" ref="L12">ROUND(K12*(1+$C$7),0)</f>
        <v>33427</v>
      </c>
      <c r="M12" t="s" s="147">
        <v>30</v>
      </c>
      <c r="N12" t="s" s="147">
        <v>30</v>
      </c>
      <c r="O12" s="145" cm="1">
        <f t="array" ref="O12">G12*C12</f>
        <v>194016</v>
      </c>
      <c r="P12" s="145" cm="1">
        <f t="array" ref="P12">K12*C12</f>
        <v>607755.12</v>
      </c>
    </row>
    <row r="13" ht="16" customHeight="1">
      <c r="A13" t="s" s="130">
        <v>169</v>
      </c>
      <c r="B13" t="s" s="131">
        <v>172</v>
      </c>
      <c r="C13" s="132">
        <v>20</v>
      </c>
      <c r="D13" t="s" s="133">
        <v>122</v>
      </c>
      <c r="E13" s="134">
        <v>67.03</v>
      </c>
      <c r="F13" s="135" cm="1">
        <f t="array" ref="F13">$C$4</f>
        <v>160</v>
      </c>
      <c r="G13" s="136" cm="1">
        <f t="array" ref="G13">E13*F13</f>
        <v>10724.8</v>
      </c>
      <c r="H13" s="136" cm="1">
        <f t="array" ref="H13">G13*$C$5</f>
        <v>2144.96</v>
      </c>
      <c r="I13" s="136" cm="1">
        <f t="array" ref="I13">G13*$C$8</f>
        <v>568.4144</v>
      </c>
      <c r="J13" s="136" cm="1">
        <f t="array" ref="J13">G13+H13+I13</f>
        <v>13438.1744</v>
      </c>
      <c r="K13" s="136" cm="1">
        <f t="array" ref="K13">J13/$C$6</f>
        <v>33595.436</v>
      </c>
      <c r="L13" s="137" cm="1">
        <f t="array" ref="L13">ROUND(K13*(1+$C$7),0)</f>
        <v>36955</v>
      </c>
      <c r="M13" s="136">
        <v>36300</v>
      </c>
      <c r="N13" s="138" cm="1">
        <f t="array" ref="N13">L13-M13</f>
        <v>655</v>
      </c>
      <c r="O13" s="136" cm="1">
        <f t="array" ref="O13">G13*C13</f>
        <v>214496</v>
      </c>
      <c r="P13" s="136" cm="1">
        <f t="array" ref="P13">K13*C13</f>
        <v>671908.72</v>
      </c>
    </row>
    <row r="14" ht="16" customHeight="1">
      <c r="A14" t="s" s="139">
        <v>173</v>
      </c>
      <c r="B14" t="s" s="140">
        <v>174</v>
      </c>
      <c r="C14" s="141">
        <v>30</v>
      </c>
      <c r="D14" t="s" s="142">
        <v>122</v>
      </c>
      <c r="E14" s="143">
        <v>29.64</v>
      </c>
      <c r="F14" s="144" cm="1">
        <f t="array" ref="F14">$C$4</f>
        <v>160</v>
      </c>
      <c r="G14" s="145" cm="1">
        <f t="array" ref="G14">E14*F14</f>
        <v>4742.4</v>
      </c>
      <c r="H14" s="145" cm="1">
        <f t="array" ref="H14">G14*$C$5</f>
        <v>948.48</v>
      </c>
      <c r="I14" s="145" cm="1">
        <f t="array" ref="I14">G14*$C$8</f>
        <v>251.3472</v>
      </c>
      <c r="J14" s="145" cm="1">
        <f t="array" ref="J14">G14+H14+I14</f>
        <v>5942.2272</v>
      </c>
      <c r="K14" s="145" cm="1">
        <f t="array" ref="K14">J14/$C$6</f>
        <v>14855.568</v>
      </c>
      <c r="L14" s="146" cm="1">
        <f t="array" ref="L14">ROUND(K14*(1+$C$7),0)</f>
        <v>16341</v>
      </c>
      <c r="M14" s="145">
        <v>17380</v>
      </c>
      <c r="N14" s="148" cm="1">
        <f t="array" ref="N14">L14-M14</f>
        <v>-1039</v>
      </c>
      <c r="O14" s="145" cm="1">
        <f t="array" ref="O14">G14*C14</f>
        <v>142272</v>
      </c>
      <c r="P14" s="145" cm="1">
        <f t="array" ref="P14">K14*C14</f>
        <v>445667.04</v>
      </c>
    </row>
    <row r="15" ht="16" customHeight="1">
      <c r="A15" t="s" s="130">
        <v>173</v>
      </c>
      <c r="B15" t="s" s="131">
        <v>175</v>
      </c>
      <c r="C15" s="132">
        <v>30</v>
      </c>
      <c r="D15" t="s" s="133">
        <v>122</v>
      </c>
      <c r="E15" s="134">
        <v>32.84</v>
      </c>
      <c r="F15" s="135" cm="1">
        <f t="array" ref="F15">$C$4</f>
        <v>160</v>
      </c>
      <c r="G15" s="136" cm="1">
        <f t="array" ref="G15">E15*F15</f>
        <v>5254.4</v>
      </c>
      <c r="H15" s="136" cm="1">
        <f t="array" ref="H15">G15*$C$5</f>
        <v>1050.88</v>
      </c>
      <c r="I15" s="136" cm="1">
        <f t="array" ref="I15">G15*$C$8</f>
        <v>278.4832</v>
      </c>
      <c r="J15" s="136" cm="1">
        <f t="array" ref="J15">G15+H15+I15</f>
        <v>6583.7632</v>
      </c>
      <c r="K15" s="136" cm="1">
        <f t="array" ref="K15">J15/$C$6</f>
        <v>16459.408</v>
      </c>
      <c r="L15" s="137" cm="1">
        <f t="array" ref="L15">ROUND(K15*(1+$C$7),0)</f>
        <v>18105</v>
      </c>
      <c r="M15" s="136">
        <v>20350</v>
      </c>
      <c r="N15" s="138" cm="1">
        <f t="array" ref="N15">L15-M15</f>
        <v>-2245</v>
      </c>
      <c r="O15" s="136" cm="1">
        <f t="array" ref="O15">G15*C15</f>
        <v>157632</v>
      </c>
      <c r="P15" s="136" cm="1">
        <f t="array" ref="P15">K15*C15</f>
        <v>493782.24</v>
      </c>
    </row>
    <row r="16" ht="16" customHeight="1">
      <c r="A16" t="s" s="139">
        <v>173</v>
      </c>
      <c r="B16" t="s" s="140">
        <v>176</v>
      </c>
      <c r="C16" s="141">
        <v>30</v>
      </c>
      <c r="D16" t="s" s="142">
        <v>122</v>
      </c>
      <c r="E16" s="143">
        <v>36.04</v>
      </c>
      <c r="F16" s="144" cm="1">
        <f t="array" ref="F16">$C$4</f>
        <v>160</v>
      </c>
      <c r="G16" s="145" cm="1">
        <f t="array" ref="G16">E16*F16</f>
        <v>5766.4</v>
      </c>
      <c r="H16" s="145" cm="1">
        <f t="array" ref="H16">G16*$C$5</f>
        <v>1153.28</v>
      </c>
      <c r="I16" s="145" cm="1">
        <f t="array" ref="I16">G16*$C$8</f>
        <v>305.6192</v>
      </c>
      <c r="J16" s="145" cm="1">
        <f t="array" ref="J16">G16+H16+I16</f>
        <v>7225.2992</v>
      </c>
      <c r="K16" s="145" cm="1">
        <f t="array" ref="K16">J16/$C$6</f>
        <v>18063.248</v>
      </c>
      <c r="L16" s="146" cm="1">
        <f t="array" ref="L16">ROUND(K16*(1+$C$7),0)</f>
        <v>19870</v>
      </c>
      <c r="M16" s="145">
        <v>21450</v>
      </c>
      <c r="N16" s="148" cm="1">
        <f t="array" ref="N16">L16-M16</f>
        <v>-1580</v>
      </c>
      <c r="O16" s="145" cm="1">
        <f t="array" ref="O16">G16*C16</f>
        <v>172992</v>
      </c>
      <c r="P16" s="145" cm="1">
        <f t="array" ref="P16">K16*C16</f>
        <v>541897.4399999999</v>
      </c>
    </row>
    <row r="17" ht="16" customHeight="1">
      <c r="A17" t="s" s="130">
        <v>177</v>
      </c>
      <c r="B17" t="s" s="131">
        <v>178</v>
      </c>
      <c r="C17" s="132">
        <v>20</v>
      </c>
      <c r="D17" t="s" s="133">
        <v>122</v>
      </c>
      <c r="E17" s="134">
        <v>1.62</v>
      </c>
      <c r="F17" s="135" cm="1">
        <f t="array" ref="F17">$C$4</f>
        <v>160</v>
      </c>
      <c r="G17" s="136" cm="1">
        <f t="array" ref="G17">E17*F17</f>
        <v>259.2</v>
      </c>
      <c r="H17" s="136" cm="1">
        <f t="array" ref="H17">G17*$C$5</f>
        <v>51.84</v>
      </c>
      <c r="I17" s="136" cm="1">
        <f t="array" ref="I17">G17*$C$8</f>
        <v>13.7376</v>
      </c>
      <c r="J17" s="136" cm="1">
        <f t="array" ref="J17">G17+H17+I17</f>
        <v>324.7776</v>
      </c>
      <c r="K17" s="136" cm="1">
        <f t="array" ref="K17">J17/$C$6</f>
        <v>811.944</v>
      </c>
      <c r="L17" s="137" cm="1">
        <f t="array" ref="L17">ROUND(K17*(1+$C$7),0)</f>
        <v>893</v>
      </c>
      <c r="M17" s="136">
        <v>4290</v>
      </c>
      <c r="N17" s="138" cm="1">
        <f t="array" ref="N17">L17-M17</f>
        <v>-3397</v>
      </c>
      <c r="O17" s="136" cm="1">
        <f t="array" ref="O17">G17*C17</f>
        <v>5184</v>
      </c>
      <c r="P17" s="136" cm="1">
        <f t="array" ref="P17">K17*C17</f>
        <v>16238.88</v>
      </c>
    </row>
    <row r="18" ht="16" customHeight="1">
      <c r="A18" t="s" s="109">
        <v>148</v>
      </c>
      <c r="B18" s="110"/>
      <c r="C18" s="111" cm="1">
        <f t="array" ref="C18">SUM(C11:C17)</f>
        <v>170</v>
      </c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2" cm="1">
        <f t="array" ref="O18">SUM(O11:O17)</f>
        <v>1071488</v>
      </c>
      <c r="P18" s="112" cm="1">
        <f t="array" ref="P18">SUM(P11:P17)</f>
        <v>3356436.16</v>
      </c>
    </row>
    <row r="19" ht="13.5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</row>
    <row r="20" ht="14" customHeight="1">
      <c r="A20" t="s" s="72">
        <v>179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3.55" customHeight="1">
      <c r="A21" t="s" s="72">
        <v>180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3.55" customHeight="1">
      <c r="A22" t="s" s="72">
        <v>181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3.55" customHeight="1">
      <c r="A23" t="s" s="72">
        <v>182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19"/>
  <sheetViews>
    <sheetView workbookViewId="0" showGridLines="0" defaultGridColor="1"/>
  </sheetViews>
  <sheetFormatPr defaultColWidth="8.66667" defaultRowHeight="15" customHeight="1" outlineLevelRow="0" outlineLevelCol="0"/>
  <cols>
    <col min="1" max="1" width="12" style="149" customWidth="1"/>
    <col min="2" max="2" width="7" style="149" customWidth="1"/>
    <col min="3" max="3" width="6" style="149" customWidth="1"/>
    <col min="4" max="4" width="7" style="149" customWidth="1"/>
    <col min="5" max="5" width="10" style="149" customWidth="1"/>
    <col min="6" max="6" width="7" style="149" customWidth="1"/>
    <col min="7" max="7" width="10" style="149" customWidth="1"/>
    <col min="8" max="9" width="8" style="149" customWidth="1"/>
    <col min="10" max="10" width="10" style="149" customWidth="1"/>
    <col min="11" max="12" width="11" style="149" customWidth="1"/>
    <col min="13" max="13" width="12" style="149" customWidth="1"/>
    <col min="14" max="14" width="13" style="149" customWidth="1"/>
    <col min="15" max="15" width="8.67188" style="149" customWidth="1"/>
    <col min="16" max="16384" width="8.67188" style="149" customWidth="1"/>
  </cols>
  <sheetData>
    <row r="1" ht="21" customHeight="1">
      <c r="A1" t="s" s="2">
        <v>183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50"/>
    </row>
    <row r="2" ht="13.55" customHeight="1">
      <c r="A2" t="s" s="4">
        <v>184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50"/>
    </row>
    <row r="3" ht="13.5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50"/>
    </row>
    <row r="4" ht="16" customHeight="1">
      <c r="A4" s="3"/>
      <c r="B4" t="s" s="75">
        <v>99</v>
      </c>
      <c r="C4" s="76">
        <v>160</v>
      </c>
      <c r="D4" t="s" s="9">
        <v>98</v>
      </c>
      <c r="E4" s="3"/>
      <c r="F4" s="3"/>
      <c r="G4" s="3"/>
      <c r="H4" s="3"/>
      <c r="I4" s="3"/>
      <c r="J4" s="3"/>
      <c r="K4" s="3"/>
      <c r="L4" s="3"/>
      <c r="M4" s="3"/>
      <c r="N4" s="3"/>
      <c r="O4" s="150"/>
    </row>
    <row r="5" ht="16" customHeight="1">
      <c r="A5" s="3"/>
      <c r="B5" t="s" s="6">
        <v>100</v>
      </c>
      <c r="C5" s="7">
        <v>0.2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150"/>
    </row>
    <row r="6" ht="16" customHeight="1">
      <c r="A6" s="3"/>
      <c r="B6" t="s" s="6">
        <v>101</v>
      </c>
      <c r="C6" s="7">
        <v>0.35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150"/>
    </row>
    <row r="7" ht="16" customHeight="1">
      <c r="A7" s="3"/>
      <c r="B7" t="s" s="6">
        <v>3</v>
      </c>
      <c r="C7" s="7">
        <v>0.1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150"/>
    </row>
    <row r="8" ht="16" customHeight="1">
      <c r="A8" s="3"/>
      <c r="B8" t="s" s="6">
        <v>11</v>
      </c>
      <c r="C8" s="7">
        <v>0.08400000000000001</v>
      </c>
      <c r="D8" t="s" s="129">
        <v>185</v>
      </c>
      <c r="E8" s="3"/>
      <c r="F8" s="3"/>
      <c r="G8" s="3"/>
      <c r="H8" s="3"/>
      <c r="I8" s="3"/>
      <c r="J8" s="3"/>
      <c r="K8" s="3"/>
      <c r="L8" s="3"/>
      <c r="M8" s="3"/>
      <c r="N8" s="3"/>
      <c r="O8" s="150"/>
    </row>
    <row r="9" ht="13.55" customHeight="1">
      <c r="A9" s="5"/>
      <c r="B9" s="5"/>
      <c r="C9" s="1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51"/>
    </row>
    <row r="10" ht="37.5" customHeight="1">
      <c r="A10" t="s" s="11">
        <v>164</v>
      </c>
      <c r="B10" t="s" s="11">
        <v>165</v>
      </c>
      <c r="C10" t="s" s="11">
        <v>106</v>
      </c>
      <c r="D10" t="s" s="11">
        <v>9</v>
      </c>
      <c r="E10" t="s" s="11">
        <v>108</v>
      </c>
      <c r="F10" t="s" s="12">
        <v>166</v>
      </c>
      <c r="G10" t="s" s="11">
        <v>110</v>
      </c>
      <c r="H10" t="s" s="11">
        <v>10</v>
      </c>
      <c r="I10" t="s" s="11">
        <v>112</v>
      </c>
      <c r="J10" t="s" s="11">
        <v>113</v>
      </c>
      <c r="K10" t="s" s="11">
        <v>13</v>
      </c>
      <c r="L10" t="s" s="11">
        <v>14</v>
      </c>
      <c r="M10" t="s" s="11">
        <v>15</v>
      </c>
      <c r="N10" t="s" s="11">
        <v>115</v>
      </c>
      <c r="O10" t="s" s="11">
        <v>117</v>
      </c>
    </row>
    <row r="11" ht="16" customHeight="1">
      <c r="A11" t="s" s="130">
        <v>43</v>
      </c>
      <c r="B11" t="s" s="131">
        <v>186</v>
      </c>
      <c r="C11" t="s" s="152">
        <v>159</v>
      </c>
      <c r="D11" s="132"/>
      <c r="E11" t="s" s="133">
        <v>122</v>
      </c>
      <c r="F11" s="134">
        <v>18.3</v>
      </c>
      <c r="G11" s="135" cm="1">
        <f t="array" ref="G11">$C$4</f>
        <v>160</v>
      </c>
      <c r="H11" s="136" cm="1">
        <f t="array" ref="H11">F11*G11</f>
        <v>2928</v>
      </c>
      <c r="I11" s="136" cm="1">
        <f t="array" ref="I11">H11*$C$5</f>
        <v>585.6</v>
      </c>
      <c r="J11" s="136" cm="1">
        <f t="array" ref="J11">H11*$C$8</f>
        <v>245.952</v>
      </c>
      <c r="K11" s="136" cm="1">
        <f t="array" ref="K11">H11+I11+J11</f>
        <v>3759.552</v>
      </c>
      <c r="L11" s="136" cm="1">
        <f t="array" ref="L11">K11/$C$6</f>
        <v>10741.5771428571</v>
      </c>
      <c r="M11" s="137" cm="1">
        <f t="array" ref="M11">ROUND(L11*(1+$C$7),0)</f>
        <v>11816</v>
      </c>
      <c r="N11" s="136" cm="1">
        <f t="array" ref="N11">IF(D11="",0,H11*D11)</f>
        <v>0</v>
      </c>
      <c r="O11" s="153" cm="1">
        <f t="array" ref="O11">IF(D11="",0,L11*D11)</f>
        <v>0</v>
      </c>
    </row>
    <row r="12" ht="16" customHeight="1">
      <c r="A12" t="s" s="139">
        <v>43</v>
      </c>
      <c r="B12" t="s" s="140">
        <v>187</v>
      </c>
      <c r="C12" t="s" s="152">
        <v>159</v>
      </c>
      <c r="D12" s="141"/>
      <c r="E12" t="s" s="142">
        <v>122</v>
      </c>
      <c r="F12" s="143">
        <v>18.3</v>
      </c>
      <c r="G12" s="144" cm="1">
        <f t="array" ref="G12">$C$4</f>
        <v>160</v>
      </c>
      <c r="H12" s="145" cm="1">
        <f t="array" ref="H12">F12*G12</f>
        <v>2928</v>
      </c>
      <c r="I12" s="145" cm="1">
        <f t="array" ref="I12">H12*$C$5</f>
        <v>585.6</v>
      </c>
      <c r="J12" s="145" cm="1">
        <f t="array" ref="J12">H12*$C$8</f>
        <v>245.952</v>
      </c>
      <c r="K12" s="145" cm="1">
        <f t="array" ref="K12">H12+I12+J12</f>
        <v>3759.552</v>
      </c>
      <c r="L12" s="145" cm="1">
        <f t="array" ref="L12">K12/$C$6</f>
        <v>10741.5771428571</v>
      </c>
      <c r="M12" s="146" cm="1">
        <f t="array" ref="M12">ROUND(L12*(1+$C$7),0)</f>
        <v>11816</v>
      </c>
      <c r="N12" s="145" cm="1">
        <f t="array" ref="N12">IF(D12="",0,H12*D12)</f>
        <v>0</v>
      </c>
      <c r="O12" s="145" cm="1">
        <f t="array" ref="O12">IF(D12="",0,L12*D12)</f>
        <v>0</v>
      </c>
    </row>
    <row r="13" ht="16" customHeight="1">
      <c r="A13" t="s" s="130">
        <v>43</v>
      </c>
      <c r="B13" t="s" s="131">
        <v>188</v>
      </c>
      <c r="C13" t="s" s="152">
        <v>159</v>
      </c>
      <c r="D13" s="132"/>
      <c r="E13" t="s" s="133">
        <v>122</v>
      </c>
      <c r="F13" s="134">
        <v>18.3</v>
      </c>
      <c r="G13" s="135" cm="1">
        <f t="array" ref="G13">$C$4</f>
        <v>160</v>
      </c>
      <c r="H13" s="136" cm="1">
        <f t="array" ref="H13">F13*G13</f>
        <v>2928</v>
      </c>
      <c r="I13" s="136" cm="1">
        <f t="array" ref="I13">H13*$C$5</f>
        <v>585.6</v>
      </c>
      <c r="J13" s="136" cm="1">
        <f t="array" ref="J13">H13*$C$8</f>
        <v>245.952</v>
      </c>
      <c r="K13" s="136" cm="1">
        <f t="array" ref="K13">H13+I13+J13</f>
        <v>3759.552</v>
      </c>
      <c r="L13" s="136" cm="1">
        <f t="array" ref="L13">K13/$C$6</f>
        <v>10741.5771428571</v>
      </c>
      <c r="M13" s="137" cm="1">
        <f t="array" ref="M13">ROUND(L13*(1+$C$7),0)</f>
        <v>11816</v>
      </c>
      <c r="N13" s="136" cm="1">
        <f t="array" ref="N13">IF(D13="",0,H13*D13)</f>
        <v>0</v>
      </c>
      <c r="O13" s="153" cm="1">
        <f t="array" ref="O13">IF(D13="",0,L13*D13)</f>
        <v>0</v>
      </c>
    </row>
    <row r="14" ht="16" customHeight="1">
      <c r="A14" t="s" s="109">
        <v>148</v>
      </c>
      <c r="B14" s="110"/>
      <c r="C14" s="110"/>
      <c r="D14" s="111" cm="1">
        <f t="array" ref="D14">SUM(D11:D13)</f>
        <v>0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12" cm="1">
        <f t="array" ref="N14">SUM(N11:N13)</f>
        <v>0</v>
      </c>
      <c r="O14" s="112" cm="1">
        <f t="array" ref="O14">SUM(O11:O13)</f>
        <v>0</v>
      </c>
    </row>
    <row r="15" ht="13.5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154"/>
    </row>
    <row r="16" ht="14" customHeight="1">
      <c r="A16" t="s" s="72">
        <v>189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50"/>
    </row>
    <row r="17" ht="14" customHeight="1">
      <c r="A17" t="s" s="72">
        <v>190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50"/>
    </row>
    <row r="18" ht="13.55" customHeight="1">
      <c r="A18" t="s" s="72">
        <v>191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50"/>
    </row>
    <row r="19" ht="13.55" customHeight="1">
      <c r="A19" t="s" s="72">
        <v>192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50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27"/>
  <sheetViews>
    <sheetView workbookViewId="0" showGridLines="0" defaultGridColor="1"/>
  </sheetViews>
  <sheetFormatPr defaultColWidth="8.66667" defaultRowHeight="15" customHeight="1" outlineLevelRow="0" outlineLevelCol="0"/>
  <cols>
    <col min="1" max="1" width="5" style="155" customWidth="1"/>
    <col min="2" max="2" width="22" style="155" customWidth="1"/>
    <col min="3" max="3" width="18" style="155" customWidth="1"/>
    <col min="4" max="5" width="6" style="155" customWidth="1"/>
    <col min="6" max="6" width="10" style="155" customWidth="1"/>
    <col min="7" max="7" width="7" style="155" customWidth="1"/>
    <col min="8" max="8" width="10" style="155" customWidth="1"/>
    <col min="9" max="10" width="8" style="155" customWidth="1"/>
    <col min="11" max="11" width="10" style="155" customWidth="1"/>
    <col min="12" max="13" width="11" style="155" customWidth="1"/>
    <col min="14" max="14" width="12" style="155" customWidth="1"/>
    <col min="15" max="15" width="13" style="155" customWidth="1"/>
    <col min="16" max="16384" width="8.67188" style="155" customWidth="1"/>
  </cols>
  <sheetData>
    <row r="1" ht="23.1" customHeight="1">
      <c r="A1" t="s" s="2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" customHeight="1">
      <c r="A2" t="s" s="4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17.15" customHeight="1">
      <c r="A4" s="3"/>
      <c r="B4" t="s" s="75">
        <v>99</v>
      </c>
      <c r="C4" s="76">
        <v>160</v>
      </c>
      <c r="D4" t="s" s="9">
        <v>98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5" customHeight="1">
      <c r="A5" s="3"/>
      <c r="B5" t="s" s="6">
        <v>100</v>
      </c>
      <c r="C5" s="7">
        <v>0.2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5" customHeight="1">
      <c r="A6" s="3"/>
      <c r="B6" t="s" s="6">
        <v>101</v>
      </c>
      <c r="C6" s="7">
        <v>0.4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" customHeight="1">
      <c r="A7" s="3"/>
      <c r="B7" t="s" s="6">
        <v>3</v>
      </c>
      <c r="C7" s="7">
        <v>0.1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" customHeight="1">
      <c r="A8" s="3"/>
      <c r="B8" t="s" s="6">
        <v>11</v>
      </c>
      <c r="C8" s="7">
        <v>0.08400000000000001</v>
      </c>
      <c r="D8" t="s" s="129">
        <v>185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" customHeight="1">
      <c r="A9" s="5"/>
      <c r="B9" s="5"/>
      <c r="C9" s="1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37.5" customHeight="1">
      <c r="A10" t="s" s="12">
        <v>195</v>
      </c>
      <c r="B10" t="s" s="11">
        <v>164</v>
      </c>
      <c r="C10" t="s" s="11">
        <v>196</v>
      </c>
      <c r="D10" t="s" s="11">
        <v>9</v>
      </c>
      <c r="E10" t="s" s="11">
        <v>108</v>
      </c>
      <c r="F10" t="s" s="12">
        <v>197</v>
      </c>
      <c r="G10" t="s" s="11">
        <v>110</v>
      </c>
      <c r="H10" t="s" s="11">
        <v>10</v>
      </c>
      <c r="I10" t="s" s="11">
        <v>112</v>
      </c>
      <c r="J10" t="s" s="11">
        <v>113</v>
      </c>
      <c r="K10" t="s" s="11">
        <v>13</v>
      </c>
      <c r="L10" t="s" s="11">
        <v>14</v>
      </c>
      <c r="M10" t="s" s="11">
        <v>15</v>
      </c>
      <c r="N10" t="s" s="11">
        <v>115</v>
      </c>
      <c r="O10" t="s" s="11">
        <v>117</v>
      </c>
    </row>
    <row r="11" ht="17.15" customHeight="1">
      <c r="A11" s="156">
        <v>1</v>
      </c>
      <c r="B11" t="s" s="130">
        <v>198</v>
      </c>
      <c r="C11" t="s" s="105">
        <v>199</v>
      </c>
      <c r="D11" s="132">
        <v>50</v>
      </c>
      <c r="E11" t="s" s="133">
        <v>122</v>
      </c>
      <c r="F11" s="134">
        <v>14.8</v>
      </c>
      <c r="G11" s="135" cm="1">
        <f t="array" ref="G11">$C$4</f>
        <v>160</v>
      </c>
      <c r="H11" s="136" cm="1">
        <f t="array" ref="H11">F11*G11</f>
        <v>2368</v>
      </c>
      <c r="I11" s="136" cm="1">
        <f t="array" ref="I11">H11*$C$5</f>
        <v>473.6</v>
      </c>
      <c r="J11" s="136" cm="1">
        <f t="array" ref="J11">H11*$C$8</f>
        <v>198.912</v>
      </c>
      <c r="K11" s="136" cm="1">
        <f t="array" ref="K11">H11+I11+J11</f>
        <v>3040.512</v>
      </c>
      <c r="L11" s="136" cm="1">
        <f t="array" ref="L11">K11/$C$6</f>
        <v>7601.28</v>
      </c>
      <c r="M11" s="137" cm="1">
        <f t="array" ref="M11">ROUND(L11*(1+$C$7),0)</f>
        <v>8361</v>
      </c>
      <c r="N11" s="136" cm="1">
        <f t="array" ref="N11">H11*D11</f>
        <v>118400</v>
      </c>
      <c r="O11" s="136" cm="1">
        <f t="array" ref="O11">L11*D11</f>
        <v>380064</v>
      </c>
    </row>
    <row r="12" ht="17.15" customHeight="1">
      <c r="A12" s="157">
        <v>2</v>
      </c>
      <c r="B12" t="s" s="139">
        <v>198</v>
      </c>
      <c r="C12" t="s" s="158">
        <v>199</v>
      </c>
      <c r="D12" s="141">
        <v>50</v>
      </c>
      <c r="E12" t="s" s="142">
        <v>122</v>
      </c>
      <c r="F12" s="143">
        <v>16.8</v>
      </c>
      <c r="G12" s="144" cm="1">
        <f t="array" ref="G12">$C$4</f>
        <v>160</v>
      </c>
      <c r="H12" s="145" cm="1">
        <f t="array" ref="H12">F12*G12</f>
        <v>2688</v>
      </c>
      <c r="I12" s="145" cm="1">
        <f t="array" ref="I12">H12*$C$5</f>
        <v>537.6</v>
      </c>
      <c r="J12" s="145" cm="1">
        <f t="array" ref="J12">H12*$C$8</f>
        <v>225.792</v>
      </c>
      <c r="K12" s="145" cm="1">
        <f t="array" ref="K12">H12+I12+J12</f>
        <v>3451.392</v>
      </c>
      <c r="L12" s="145" cm="1">
        <f t="array" ref="L12">K12/$C$6</f>
        <v>8628.48</v>
      </c>
      <c r="M12" s="146" cm="1">
        <f t="array" ref="M12">ROUND(L12*(1+$C$7),0)</f>
        <v>9491</v>
      </c>
      <c r="N12" s="145" cm="1">
        <f t="array" ref="N12">H12*D12</f>
        <v>134400</v>
      </c>
      <c r="O12" s="145" cm="1">
        <f t="array" ref="O12">L12*D12</f>
        <v>431424</v>
      </c>
    </row>
    <row r="13" ht="17.15" customHeight="1">
      <c r="A13" s="156">
        <v>3</v>
      </c>
      <c r="B13" t="s" s="130">
        <v>198</v>
      </c>
      <c r="C13" t="s" s="105">
        <v>199</v>
      </c>
      <c r="D13" s="132">
        <v>50</v>
      </c>
      <c r="E13" t="s" s="133">
        <v>122</v>
      </c>
      <c r="F13" s="134">
        <v>15.8</v>
      </c>
      <c r="G13" s="135" cm="1">
        <f t="array" ref="G13">$C$4</f>
        <v>160</v>
      </c>
      <c r="H13" s="136" cm="1">
        <f t="array" ref="H13">F13*G13</f>
        <v>2528</v>
      </c>
      <c r="I13" s="136" cm="1">
        <f t="array" ref="I13">H13*$C$5</f>
        <v>505.6</v>
      </c>
      <c r="J13" s="136" cm="1">
        <f t="array" ref="J13">H13*$C$8</f>
        <v>212.352</v>
      </c>
      <c r="K13" s="136" cm="1">
        <f t="array" ref="K13">H13+I13+J13</f>
        <v>3245.952</v>
      </c>
      <c r="L13" s="136" cm="1">
        <f t="array" ref="L13">K13/$C$6</f>
        <v>8114.88</v>
      </c>
      <c r="M13" s="137" cm="1">
        <f t="array" ref="M13">ROUND(L13*(1+$C$7),0)</f>
        <v>8926</v>
      </c>
      <c r="N13" s="136" cm="1">
        <f t="array" ref="N13">H13*D13</f>
        <v>126400</v>
      </c>
      <c r="O13" s="136" cm="1">
        <f t="array" ref="O13">L13*D13</f>
        <v>405744</v>
      </c>
    </row>
    <row r="14" ht="17.15" customHeight="1">
      <c r="A14" s="157">
        <v>4</v>
      </c>
      <c r="B14" t="s" s="139">
        <v>198</v>
      </c>
      <c r="C14" t="s" s="158">
        <v>199</v>
      </c>
      <c r="D14" s="141">
        <v>50</v>
      </c>
      <c r="E14" t="s" s="142">
        <v>122</v>
      </c>
      <c r="F14" s="143">
        <v>15.8</v>
      </c>
      <c r="G14" s="144" cm="1">
        <f t="array" ref="G14">$C$4</f>
        <v>160</v>
      </c>
      <c r="H14" s="145" cm="1">
        <f t="array" ref="H14">F14*G14</f>
        <v>2528</v>
      </c>
      <c r="I14" s="145" cm="1">
        <f t="array" ref="I14">H14*$C$5</f>
        <v>505.6</v>
      </c>
      <c r="J14" s="145" cm="1">
        <f t="array" ref="J14">H14*$C$8</f>
        <v>212.352</v>
      </c>
      <c r="K14" s="145" cm="1">
        <f t="array" ref="K14">H14+I14+J14</f>
        <v>3245.952</v>
      </c>
      <c r="L14" s="145" cm="1">
        <f t="array" ref="L14">K14/$C$6</f>
        <v>8114.88</v>
      </c>
      <c r="M14" s="146" cm="1">
        <f t="array" ref="M14">ROUND(L14*(1+$C$7),0)</f>
        <v>8926</v>
      </c>
      <c r="N14" s="145" cm="1">
        <f t="array" ref="N14">H14*D14</f>
        <v>126400</v>
      </c>
      <c r="O14" s="145" cm="1">
        <f t="array" ref="O14">L14*D14</f>
        <v>405744</v>
      </c>
    </row>
    <row r="15" ht="17.15" customHeight="1">
      <c r="A15" s="156">
        <v>5</v>
      </c>
      <c r="B15" t="s" s="130">
        <v>200</v>
      </c>
      <c r="C15" t="s" s="105">
        <v>199</v>
      </c>
      <c r="D15" s="132">
        <v>50</v>
      </c>
      <c r="E15" t="s" s="133">
        <v>122</v>
      </c>
      <c r="F15" s="134">
        <v>9.800000000000001</v>
      </c>
      <c r="G15" s="135" cm="1">
        <f t="array" ref="G15">$C$4</f>
        <v>160</v>
      </c>
      <c r="H15" s="136" cm="1">
        <f t="array" ref="H15">F15*G15</f>
        <v>1568</v>
      </c>
      <c r="I15" s="136" cm="1">
        <f t="array" ref="I15">H15*$C$5</f>
        <v>313.6</v>
      </c>
      <c r="J15" s="136" cm="1">
        <f t="array" ref="J15">H15*$C$8</f>
        <v>131.712</v>
      </c>
      <c r="K15" s="136" cm="1">
        <f t="array" ref="K15">H15+I15+J15</f>
        <v>2013.312</v>
      </c>
      <c r="L15" s="136" cm="1">
        <f t="array" ref="L15">K15/$C$6</f>
        <v>5033.28</v>
      </c>
      <c r="M15" s="137" cm="1">
        <f t="array" ref="M15">ROUND(L15*(1+$C$7),0)</f>
        <v>5537</v>
      </c>
      <c r="N15" s="136" cm="1">
        <f t="array" ref="N15">H15*D15</f>
        <v>78400</v>
      </c>
      <c r="O15" s="136" cm="1">
        <f t="array" ref="O15">L15*D15</f>
        <v>251664</v>
      </c>
    </row>
    <row r="16" ht="17.15" customHeight="1">
      <c r="A16" s="157">
        <v>6</v>
      </c>
      <c r="B16" t="s" s="139">
        <v>200</v>
      </c>
      <c r="C16" t="s" s="158">
        <v>199</v>
      </c>
      <c r="D16" s="141">
        <v>50</v>
      </c>
      <c r="E16" t="s" s="142">
        <v>122</v>
      </c>
      <c r="F16" s="143">
        <v>11.8</v>
      </c>
      <c r="G16" s="144" cm="1">
        <f t="array" ref="G16">$C$4</f>
        <v>160</v>
      </c>
      <c r="H16" s="145" cm="1">
        <f t="array" ref="H16">F16*G16</f>
        <v>1888</v>
      </c>
      <c r="I16" s="145" cm="1">
        <f t="array" ref="I16">H16*$C$5</f>
        <v>377.6</v>
      </c>
      <c r="J16" s="145" cm="1">
        <f t="array" ref="J16">H16*$C$8</f>
        <v>158.592</v>
      </c>
      <c r="K16" s="145" cm="1">
        <f t="array" ref="K16">H16+I16+J16</f>
        <v>2424.192</v>
      </c>
      <c r="L16" s="145" cm="1">
        <f t="array" ref="L16">K16/$C$6</f>
        <v>6060.48</v>
      </c>
      <c r="M16" s="146" cm="1">
        <f t="array" ref="M16">ROUND(L16*(1+$C$7),0)</f>
        <v>6667</v>
      </c>
      <c r="N16" s="145" cm="1">
        <f t="array" ref="N16">H16*D16</f>
        <v>94400</v>
      </c>
      <c r="O16" s="145" cm="1">
        <f t="array" ref="O16">L16*D16</f>
        <v>303024</v>
      </c>
    </row>
    <row r="17" ht="15" customHeight="1">
      <c r="A17" s="156">
        <v>7</v>
      </c>
      <c r="B17" t="s" s="130">
        <v>201</v>
      </c>
      <c r="C17" t="s" s="105">
        <v>199</v>
      </c>
      <c r="D17" s="132">
        <v>50</v>
      </c>
      <c r="E17" t="s" s="133">
        <v>122</v>
      </c>
      <c r="F17" s="134">
        <v>8.800000000000001</v>
      </c>
      <c r="G17" s="135" cm="1">
        <f t="array" ref="G17">$C$4</f>
        <v>160</v>
      </c>
      <c r="H17" s="136" cm="1">
        <f t="array" ref="H17">F17*G17</f>
        <v>1408</v>
      </c>
      <c r="I17" s="136" cm="1">
        <f t="array" ref="I17">H17*$C$5</f>
        <v>281.6</v>
      </c>
      <c r="J17" s="136" cm="1">
        <f t="array" ref="J17">H17*$C$8</f>
        <v>118.272</v>
      </c>
      <c r="K17" s="136" cm="1">
        <f t="array" ref="K17">H17+I17+J17</f>
        <v>1807.872</v>
      </c>
      <c r="L17" s="136" cm="1">
        <f t="array" ref="L17">K17/$C$6</f>
        <v>4519.68</v>
      </c>
      <c r="M17" s="137" cm="1">
        <f t="array" ref="M17">ROUND(L17*(1+$C$7),0)</f>
        <v>4972</v>
      </c>
      <c r="N17" s="136" cm="1">
        <f t="array" ref="N17">H17*D17</f>
        <v>70400</v>
      </c>
      <c r="O17" s="136" cm="1">
        <f t="array" ref="O17">L17*D17</f>
        <v>225984</v>
      </c>
    </row>
    <row r="18" ht="15" customHeight="1">
      <c r="A18" s="157">
        <v>8</v>
      </c>
      <c r="B18" t="s" s="139">
        <v>201</v>
      </c>
      <c r="C18" t="s" s="158">
        <v>199</v>
      </c>
      <c r="D18" s="141">
        <v>50</v>
      </c>
      <c r="E18" t="s" s="142">
        <v>122</v>
      </c>
      <c r="F18" s="143">
        <v>7.8</v>
      </c>
      <c r="G18" s="144" cm="1">
        <f t="array" ref="G18">$C$4</f>
        <v>160</v>
      </c>
      <c r="H18" s="145" cm="1">
        <f t="array" ref="H18">F18*G18</f>
        <v>1248</v>
      </c>
      <c r="I18" s="145" cm="1">
        <f t="array" ref="I18">H18*$C$5</f>
        <v>249.6</v>
      </c>
      <c r="J18" s="145" cm="1">
        <f t="array" ref="J18">H18*$C$8</f>
        <v>104.832</v>
      </c>
      <c r="K18" s="145" cm="1">
        <f t="array" ref="K18">H18+I18+J18</f>
        <v>1602.432</v>
      </c>
      <c r="L18" s="145" cm="1">
        <f t="array" ref="L18">K18/$C$6</f>
        <v>4006.08</v>
      </c>
      <c r="M18" s="146" cm="1">
        <f t="array" ref="M18">ROUND(L18*(1+$C$7),0)</f>
        <v>4407</v>
      </c>
      <c r="N18" s="145" cm="1">
        <f t="array" ref="N18">H18*D18</f>
        <v>62400</v>
      </c>
      <c r="O18" s="145" cm="1">
        <f t="array" ref="O18">L18*D18</f>
        <v>200304</v>
      </c>
    </row>
    <row r="19" ht="15" customHeight="1">
      <c r="A19" s="156">
        <v>9</v>
      </c>
      <c r="B19" t="s" s="130">
        <v>201</v>
      </c>
      <c r="C19" t="s" s="105">
        <v>199</v>
      </c>
      <c r="D19" s="132">
        <v>50</v>
      </c>
      <c r="E19" t="s" s="133">
        <v>122</v>
      </c>
      <c r="F19" s="134">
        <v>6.8</v>
      </c>
      <c r="G19" s="135" cm="1">
        <f t="array" ref="G19">$C$4</f>
        <v>160</v>
      </c>
      <c r="H19" s="136" cm="1">
        <f t="array" ref="H19">F19*G19</f>
        <v>1088</v>
      </c>
      <c r="I19" s="136" cm="1">
        <f t="array" ref="I19">H19*$C$5</f>
        <v>217.6</v>
      </c>
      <c r="J19" s="136" cm="1">
        <f t="array" ref="J19">H19*$C$8</f>
        <v>91.392</v>
      </c>
      <c r="K19" s="136" cm="1">
        <f t="array" ref="K19">H19+I19+J19</f>
        <v>1396.992</v>
      </c>
      <c r="L19" s="136" cm="1">
        <f t="array" ref="L19">K19/$C$6</f>
        <v>3492.48</v>
      </c>
      <c r="M19" s="137" cm="1">
        <f t="array" ref="M19">ROUND(L19*(1+$C$7),0)</f>
        <v>3842</v>
      </c>
      <c r="N19" s="136" cm="1">
        <f t="array" ref="N19">H19*D19</f>
        <v>54400</v>
      </c>
      <c r="O19" s="136" cm="1">
        <f t="array" ref="O19">L19*D19</f>
        <v>174624</v>
      </c>
    </row>
    <row r="20" ht="17.15" customHeight="1">
      <c r="A20" s="157">
        <v>10</v>
      </c>
      <c r="B20" t="s" s="139">
        <v>202</v>
      </c>
      <c r="C20" t="s" s="158">
        <v>199</v>
      </c>
      <c r="D20" s="141">
        <v>50</v>
      </c>
      <c r="E20" t="s" s="142">
        <v>122</v>
      </c>
      <c r="F20" s="143">
        <v>13.8</v>
      </c>
      <c r="G20" s="144" cm="1">
        <f t="array" ref="G20">$C$4</f>
        <v>160</v>
      </c>
      <c r="H20" s="145" cm="1">
        <f t="array" ref="H20">F20*G20</f>
        <v>2208</v>
      </c>
      <c r="I20" s="145" cm="1">
        <f t="array" ref="I20">H20*$C$5</f>
        <v>441.6</v>
      </c>
      <c r="J20" s="145" cm="1">
        <f t="array" ref="J20">H20*$C$8</f>
        <v>185.472</v>
      </c>
      <c r="K20" s="145" cm="1">
        <f t="array" ref="K20">H20+I20+J20</f>
        <v>2835.072</v>
      </c>
      <c r="L20" s="145" cm="1">
        <f t="array" ref="L20">K20/$C$6</f>
        <v>7087.68</v>
      </c>
      <c r="M20" s="146" cm="1">
        <f t="array" ref="M20">ROUND(L20*(1+$C$7),0)</f>
        <v>7796</v>
      </c>
      <c r="N20" s="145" cm="1">
        <f t="array" ref="N20">H20*D20</f>
        <v>110400</v>
      </c>
      <c r="O20" s="145" cm="1">
        <f t="array" ref="O20">L20*D20</f>
        <v>354384</v>
      </c>
    </row>
    <row r="21" ht="17.15" customHeight="1">
      <c r="A21" s="156">
        <v>11</v>
      </c>
      <c r="B21" t="s" s="130">
        <v>203</v>
      </c>
      <c r="C21" t="s" s="105">
        <v>199</v>
      </c>
      <c r="D21" s="132">
        <v>50</v>
      </c>
      <c r="E21" t="s" s="133">
        <v>122</v>
      </c>
      <c r="F21" s="134">
        <v>11.8</v>
      </c>
      <c r="G21" s="135" cm="1">
        <f t="array" ref="G21">$C$4</f>
        <v>160</v>
      </c>
      <c r="H21" s="136" cm="1">
        <f t="array" ref="H21">F21*G21</f>
        <v>1888</v>
      </c>
      <c r="I21" s="136" cm="1">
        <f t="array" ref="I21">H21*$C$5</f>
        <v>377.6</v>
      </c>
      <c r="J21" s="136" cm="1">
        <f t="array" ref="J21">H21*$C$8</f>
        <v>158.592</v>
      </c>
      <c r="K21" s="136" cm="1">
        <f t="array" ref="K21">H21+I21+J21</f>
        <v>2424.192</v>
      </c>
      <c r="L21" s="136" cm="1">
        <f t="array" ref="L21">K21/$C$6</f>
        <v>6060.48</v>
      </c>
      <c r="M21" s="137" cm="1">
        <f t="array" ref="M21">ROUND(L21*(1+$C$7),0)</f>
        <v>6667</v>
      </c>
      <c r="N21" s="136" cm="1">
        <f t="array" ref="N21">H21*D21</f>
        <v>94400</v>
      </c>
      <c r="O21" s="136" cm="1">
        <f t="array" ref="O21">L21*D21</f>
        <v>303024</v>
      </c>
    </row>
    <row r="22" ht="15" customHeight="1">
      <c r="A22" t="s" s="109">
        <v>148</v>
      </c>
      <c r="B22" s="110"/>
      <c r="C22" s="110"/>
      <c r="D22" s="111" cm="1">
        <f t="array" ref="D22">SUM(D11:D21)</f>
        <v>550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2" cm="1">
        <f t="array" ref="N22">SUM(N11:N21)</f>
        <v>1070400</v>
      </c>
      <c r="O22" s="112" cm="1">
        <f t="array" ref="O22">SUM(O11:O21)</f>
        <v>3435984</v>
      </c>
    </row>
    <row r="23" ht="1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</row>
    <row r="24" ht="15" customHeight="1">
      <c r="A24" t="s" s="72">
        <v>204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" customHeight="1">
      <c r="A25" t="s" s="72">
        <v>205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" customHeight="1">
      <c r="A26" t="s" s="72">
        <v>206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" customHeight="1">
      <c r="A27" t="s" s="72">
        <v>207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F17"/>
  <sheetViews>
    <sheetView workbookViewId="0" showGridLines="0" defaultGridColor="1"/>
  </sheetViews>
  <sheetFormatPr defaultColWidth="8.66667" defaultRowHeight="15" customHeight="1" outlineLevelRow="0" outlineLevelCol="0"/>
  <cols>
    <col min="1" max="1" width="27" style="159" customWidth="1"/>
    <col min="2" max="2" width="5" style="159" customWidth="1"/>
    <col min="3" max="3" width="24" style="159" customWidth="1"/>
    <col min="4" max="4" width="11" style="159" customWidth="1"/>
    <col min="5" max="5" width="7" style="159" customWidth="1"/>
    <col min="6" max="6" width="15" style="159" customWidth="1"/>
    <col min="7" max="16384" width="8.67188" style="159" customWidth="1"/>
  </cols>
  <sheetData>
    <row r="1" ht="23.1" customHeight="1">
      <c r="A1" t="s" s="2">
        <v>208</v>
      </c>
      <c r="B1" s="3"/>
      <c r="C1" s="3"/>
      <c r="D1" s="3"/>
      <c r="E1" s="3"/>
      <c r="F1" s="3"/>
    </row>
    <row r="2" ht="15" customHeight="1">
      <c r="A2" t="s" s="4">
        <v>209</v>
      </c>
      <c r="B2" s="3"/>
      <c r="C2" s="3"/>
      <c r="D2" s="3"/>
      <c r="E2" s="3"/>
      <c r="F2" s="3"/>
    </row>
    <row r="3" ht="15" customHeight="1">
      <c r="A3" s="5"/>
      <c r="B3" s="5"/>
      <c r="C3" s="5"/>
      <c r="D3" s="5"/>
      <c r="E3" s="5"/>
      <c r="F3" s="5"/>
    </row>
    <row r="4" ht="15" customHeight="1">
      <c r="A4" t="s" s="114">
        <v>210</v>
      </c>
      <c r="B4" t="s" s="160">
        <v>195</v>
      </c>
      <c r="C4" t="s" s="114">
        <v>164</v>
      </c>
      <c r="D4" t="s" s="160">
        <v>211</v>
      </c>
      <c r="E4" t="s" s="114">
        <v>9</v>
      </c>
      <c r="F4" t="s" s="114">
        <v>152</v>
      </c>
    </row>
    <row r="5" ht="115.5" customHeight="1">
      <c r="A5" s="115"/>
      <c r="B5" s="161">
        <v>1</v>
      </c>
      <c r="C5" t="s" s="117">
        <v>198</v>
      </c>
      <c r="D5" s="162">
        <v>14.8</v>
      </c>
      <c r="E5" s="119">
        <v>50</v>
      </c>
      <c r="F5" s="120">
        <v>8361</v>
      </c>
    </row>
    <row r="6" ht="115.5" customHeight="1">
      <c r="A6" s="121"/>
      <c r="B6" s="163">
        <v>2</v>
      </c>
      <c r="C6" t="s" s="123">
        <v>198</v>
      </c>
      <c r="D6" s="164">
        <v>16.8</v>
      </c>
      <c r="E6" s="125">
        <v>50</v>
      </c>
      <c r="F6" s="126">
        <v>9491</v>
      </c>
    </row>
    <row r="7" ht="115.5" customHeight="1">
      <c r="A7" s="115"/>
      <c r="B7" s="161">
        <v>3</v>
      </c>
      <c r="C7" t="s" s="117">
        <v>198</v>
      </c>
      <c r="D7" s="162">
        <v>15.8</v>
      </c>
      <c r="E7" s="119">
        <v>50</v>
      </c>
      <c r="F7" s="120">
        <v>8926</v>
      </c>
    </row>
    <row r="8" ht="115.5" customHeight="1">
      <c r="A8" s="121"/>
      <c r="B8" s="163">
        <v>4</v>
      </c>
      <c r="C8" t="s" s="123">
        <v>198</v>
      </c>
      <c r="D8" s="164">
        <v>15.8</v>
      </c>
      <c r="E8" s="125">
        <v>50</v>
      </c>
      <c r="F8" s="126">
        <v>8926</v>
      </c>
    </row>
    <row r="9" ht="115.5" customHeight="1">
      <c r="A9" s="115"/>
      <c r="B9" s="161">
        <v>5</v>
      </c>
      <c r="C9" t="s" s="117">
        <v>200</v>
      </c>
      <c r="D9" s="162">
        <v>9.800000000000001</v>
      </c>
      <c r="E9" s="119">
        <v>50</v>
      </c>
      <c r="F9" s="120">
        <v>5537</v>
      </c>
    </row>
    <row r="10" ht="115.5" customHeight="1">
      <c r="A10" s="121"/>
      <c r="B10" s="163">
        <v>6</v>
      </c>
      <c r="C10" t="s" s="123">
        <v>200</v>
      </c>
      <c r="D10" s="164">
        <v>11.8</v>
      </c>
      <c r="E10" s="125">
        <v>50</v>
      </c>
      <c r="F10" s="126">
        <v>6667</v>
      </c>
    </row>
    <row r="11" ht="115.5" customHeight="1">
      <c r="A11" s="115"/>
      <c r="B11" s="161">
        <v>7</v>
      </c>
      <c r="C11" t="s" s="117">
        <v>201</v>
      </c>
      <c r="D11" s="162">
        <v>8.800000000000001</v>
      </c>
      <c r="E11" s="119">
        <v>50</v>
      </c>
      <c r="F11" s="120">
        <v>4972</v>
      </c>
    </row>
    <row r="12" ht="115.5" customHeight="1">
      <c r="A12" s="121"/>
      <c r="B12" s="163">
        <v>8</v>
      </c>
      <c r="C12" t="s" s="123">
        <v>201</v>
      </c>
      <c r="D12" s="164">
        <v>7.8</v>
      </c>
      <c r="E12" s="125">
        <v>50</v>
      </c>
      <c r="F12" s="126">
        <v>4407</v>
      </c>
    </row>
    <row r="13" ht="115.5" customHeight="1">
      <c r="A13" s="115"/>
      <c r="B13" s="161">
        <v>9</v>
      </c>
      <c r="C13" t="s" s="117">
        <v>201</v>
      </c>
      <c r="D13" s="162">
        <v>6.8</v>
      </c>
      <c r="E13" s="119">
        <v>50</v>
      </c>
      <c r="F13" s="120">
        <v>3842</v>
      </c>
    </row>
    <row r="14" ht="115.5" customHeight="1">
      <c r="A14" s="121"/>
      <c r="B14" s="163">
        <v>10</v>
      </c>
      <c r="C14" t="s" s="123">
        <v>202</v>
      </c>
      <c r="D14" s="164">
        <v>13.8</v>
      </c>
      <c r="E14" s="125">
        <v>50</v>
      </c>
      <c r="F14" s="126">
        <v>7796</v>
      </c>
    </row>
    <row r="15" ht="115.5" customHeight="1">
      <c r="A15" s="115"/>
      <c r="B15" s="161">
        <v>11</v>
      </c>
      <c r="C15" t="s" s="117">
        <v>203</v>
      </c>
      <c r="D15" s="162">
        <v>11.8</v>
      </c>
      <c r="E15" s="119">
        <v>50</v>
      </c>
      <c r="F15" s="120">
        <v>6667</v>
      </c>
    </row>
    <row r="16" ht="15" customHeight="1">
      <c r="A16" s="71"/>
      <c r="B16" s="71"/>
      <c r="C16" s="71"/>
      <c r="D16" s="71"/>
      <c r="E16" s="71"/>
      <c r="F16" s="71"/>
    </row>
    <row r="17" ht="15" customHeight="1">
      <c r="A17" t="s" s="165">
        <v>212</v>
      </c>
      <c r="B17" s="3"/>
      <c r="C17" s="3"/>
      <c r="D17" s="3"/>
      <c r="E17" s="3"/>
      <c r="F17" s="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Q25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166" customWidth="1"/>
    <col min="2" max="2" width="12" style="166" customWidth="1"/>
    <col min="3" max="4" width="6" style="166" customWidth="1"/>
    <col min="5" max="5" width="10" style="166" customWidth="1"/>
    <col min="6" max="6" width="7" style="166" customWidth="1"/>
    <col min="7" max="7" width="10" style="166" customWidth="1"/>
    <col min="8" max="10" width="8" style="166" customWidth="1"/>
    <col min="11" max="11" width="10" style="166" customWidth="1"/>
    <col min="12" max="14" width="11" style="166" customWidth="1"/>
    <col min="15" max="15" width="10" style="166" customWidth="1"/>
    <col min="16" max="17" width="12" style="166" customWidth="1"/>
    <col min="18" max="16384" width="8.67188" style="166" customWidth="1"/>
  </cols>
  <sheetData>
    <row r="1" ht="21" customHeight="1">
      <c r="A1" t="s" s="2">
        <v>213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5" customHeight="1">
      <c r="A2" t="s" s="128">
        <v>214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3.5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6" customHeight="1">
      <c r="A4" s="3"/>
      <c r="B4" t="s" s="75">
        <v>99</v>
      </c>
      <c r="C4" s="76">
        <v>160</v>
      </c>
      <c r="D4" t="s" s="9">
        <v>98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6" customHeight="1">
      <c r="A5" s="3"/>
      <c r="B5" t="s" s="6">
        <v>100</v>
      </c>
      <c r="C5" s="7">
        <v>0.2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16" customHeight="1">
      <c r="A6" s="3"/>
      <c r="B6" t="s" s="6">
        <v>101</v>
      </c>
      <c r="C6" s="7">
        <v>0.4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6" customHeight="1">
      <c r="A7" s="3"/>
      <c r="B7" t="s" s="6">
        <v>3</v>
      </c>
      <c r="C7" s="7">
        <v>0.1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6" customHeight="1">
      <c r="A8" s="3"/>
      <c r="B8" t="s" s="6">
        <v>11</v>
      </c>
      <c r="C8" s="7">
        <v>0.053</v>
      </c>
      <c r="D8" t="s" s="9">
        <v>215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13.55" customHeight="1">
      <c r="A9" s="5"/>
      <c r="B9" s="5"/>
      <c r="C9" s="1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37.5" customHeight="1">
      <c r="A10" t="s" s="11">
        <v>164</v>
      </c>
      <c r="B10" t="s" s="11">
        <v>165</v>
      </c>
      <c r="C10" t="s" s="11">
        <v>9</v>
      </c>
      <c r="D10" t="s" s="11">
        <v>108</v>
      </c>
      <c r="E10" t="s" s="12">
        <v>166</v>
      </c>
      <c r="F10" t="s" s="11">
        <v>110</v>
      </c>
      <c r="G10" t="s" s="11">
        <v>10</v>
      </c>
      <c r="H10" t="s" s="11">
        <v>112</v>
      </c>
      <c r="I10" t="s" s="11">
        <v>11</v>
      </c>
      <c r="J10" t="s" s="11">
        <v>113</v>
      </c>
      <c r="K10" t="s" s="11">
        <v>13</v>
      </c>
      <c r="L10" t="s" s="11">
        <v>14</v>
      </c>
      <c r="M10" t="s" s="11">
        <v>15</v>
      </c>
      <c r="N10" t="s" s="11">
        <v>216</v>
      </c>
      <c r="O10" t="s" s="11">
        <v>217</v>
      </c>
      <c r="P10" t="s" s="11">
        <v>115</v>
      </c>
      <c r="Q10" t="s" s="11">
        <v>117</v>
      </c>
    </row>
    <row r="11" ht="16" customHeight="1">
      <c r="A11" t="s" s="130">
        <v>218</v>
      </c>
      <c r="B11" t="s" s="131">
        <v>219</v>
      </c>
      <c r="C11" s="132">
        <v>30</v>
      </c>
      <c r="D11" t="s" s="133">
        <v>122</v>
      </c>
      <c r="E11" s="134">
        <v>2.7</v>
      </c>
      <c r="F11" s="135" cm="1">
        <f t="array" ref="F11">$C$4</f>
        <v>160</v>
      </c>
      <c r="G11" s="136" cm="1">
        <f t="array" ref="G11">E11*F11</f>
        <v>432</v>
      </c>
      <c r="H11" s="136" cm="1">
        <f t="array" ref="H11">G11*$C$5</f>
        <v>86.40000000000001</v>
      </c>
      <c r="I11" s="167">
        <v>0.053</v>
      </c>
      <c r="J11" s="136" cm="1">
        <f t="array" ref="J11">G11*I11</f>
        <v>22.896</v>
      </c>
      <c r="K11" s="136" cm="1">
        <f t="array" ref="K11">G11+H11+J11</f>
        <v>541.296</v>
      </c>
      <c r="L11" s="136" cm="1">
        <f t="array" ref="L11">K11/$C$6</f>
        <v>1353.24</v>
      </c>
      <c r="M11" s="137" cm="1">
        <f t="array" ref="M11">ROUND(L11*(1+$C$7),0)</f>
        <v>1489</v>
      </c>
      <c r="N11" s="136">
        <v>1760</v>
      </c>
      <c r="O11" s="138" cm="1">
        <f t="array" ref="O11">M11-N11</f>
        <v>-271</v>
      </c>
      <c r="P11" s="136" cm="1">
        <f t="array" ref="P11">G11*C11</f>
        <v>12960</v>
      </c>
      <c r="Q11" s="136" cm="1">
        <f t="array" ref="Q11">L11*C11</f>
        <v>40597.2</v>
      </c>
    </row>
    <row r="12" ht="16" customHeight="1">
      <c r="A12" t="s" s="139">
        <v>220</v>
      </c>
      <c r="B12" t="s" s="140">
        <v>221</v>
      </c>
      <c r="C12" s="141">
        <v>30</v>
      </c>
      <c r="D12" t="s" s="142">
        <v>122</v>
      </c>
      <c r="E12" s="143">
        <v>4.3</v>
      </c>
      <c r="F12" s="144" cm="1">
        <f t="array" ref="F12">$C$4</f>
        <v>160</v>
      </c>
      <c r="G12" s="145" cm="1">
        <f t="array" ref="G12">E12*F12</f>
        <v>688</v>
      </c>
      <c r="H12" s="145" cm="1">
        <f t="array" ref="H12">G12*$C$5</f>
        <v>137.6</v>
      </c>
      <c r="I12" s="168">
        <v>0.053</v>
      </c>
      <c r="J12" s="145" cm="1">
        <f t="array" ref="J12">G12*I12</f>
        <v>36.464</v>
      </c>
      <c r="K12" s="145" cm="1">
        <f t="array" ref="K12">G12+H12+J12</f>
        <v>862.064</v>
      </c>
      <c r="L12" s="145" cm="1">
        <f t="array" ref="L12">K12/$C$6</f>
        <v>2155.16</v>
      </c>
      <c r="M12" s="146" cm="1">
        <f t="array" ref="M12">ROUND(L12*(1+$C$7),0)</f>
        <v>2371</v>
      </c>
      <c r="N12" t="s" s="169">
        <v>30</v>
      </c>
      <c r="O12" t="s" s="169">
        <v>30</v>
      </c>
      <c r="P12" s="145" cm="1">
        <f t="array" ref="P12">G12*C12</f>
        <v>20640</v>
      </c>
      <c r="Q12" s="145" cm="1">
        <f t="array" ref="Q12">L12*C12</f>
        <v>64654.8</v>
      </c>
    </row>
    <row r="13" ht="16" customHeight="1">
      <c r="A13" t="s" s="130">
        <v>222</v>
      </c>
      <c r="B13" t="s" s="131">
        <v>223</v>
      </c>
      <c r="C13" s="132">
        <v>30</v>
      </c>
      <c r="D13" t="s" s="133">
        <v>122</v>
      </c>
      <c r="E13" s="134">
        <v>11</v>
      </c>
      <c r="F13" s="135" cm="1">
        <f t="array" ref="F13">$C$4</f>
        <v>160</v>
      </c>
      <c r="G13" s="136" cm="1">
        <f t="array" ref="G13">E13*F13</f>
        <v>1760</v>
      </c>
      <c r="H13" s="136" cm="1">
        <f t="array" ref="H13">G13*$C$5</f>
        <v>352</v>
      </c>
      <c r="I13" s="167">
        <v>0.053</v>
      </c>
      <c r="J13" s="136" cm="1">
        <f t="array" ref="J13">G13*I13</f>
        <v>93.28</v>
      </c>
      <c r="K13" s="136" cm="1">
        <f t="array" ref="K13">G13+H13+J13</f>
        <v>2205.28</v>
      </c>
      <c r="L13" s="136" cm="1">
        <f t="array" ref="L13">K13/$C$6</f>
        <v>5513.2</v>
      </c>
      <c r="M13" s="137" cm="1">
        <f t="array" ref="M13">ROUND(L13*(1+$C$7),0)</f>
        <v>6065</v>
      </c>
      <c r="N13" t="s" s="170">
        <v>30</v>
      </c>
      <c r="O13" t="s" s="170">
        <v>30</v>
      </c>
      <c r="P13" s="136" cm="1">
        <f t="array" ref="P13">G13*C13</f>
        <v>52800</v>
      </c>
      <c r="Q13" s="136" cm="1">
        <f t="array" ref="Q13">L13*C13</f>
        <v>165396</v>
      </c>
    </row>
    <row r="14" ht="16" customHeight="1">
      <c r="A14" t="s" s="139">
        <v>224</v>
      </c>
      <c r="B14" t="s" s="140">
        <v>225</v>
      </c>
      <c r="C14" s="141">
        <v>20</v>
      </c>
      <c r="D14" t="s" s="142">
        <v>122</v>
      </c>
      <c r="E14" s="143"/>
      <c r="F14" s="144" cm="1">
        <f t="array" ref="F14">$C$4</f>
        <v>160</v>
      </c>
      <c r="G14" s="145" cm="1">
        <f t="array" ref="G14">E14*F14</f>
        <v>0</v>
      </c>
      <c r="H14" s="145" cm="1">
        <f t="array" ref="H14">G14*$C$5</f>
        <v>0</v>
      </c>
      <c r="I14" s="168">
        <v>0.091</v>
      </c>
      <c r="J14" s="145" cm="1">
        <f t="array" ref="J14">G14*I14</f>
        <v>0</v>
      </c>
      <c r="K14" s="145" cm="1">
        <f t="array" ref="K14">G14+H14+J14</f>
        <v>0</v>
      </c>
      <c r="L14" s="145" cm="1">
        <f t="array" ref="L14">K14/$C$6</f>
        <v>0</v>
      </c>
      <c r="M14" s="146" cm="1">
        <f t="array" ref="M14">ROUND(L14*(1+$C$7),0)</f>
        <v>0</v>
      </c>
      <c r="N14" t="s" s="169">
        <v>30</v>
      </c>
      <c r="O14" t="s" s="169">
        <v>30</v>
      </c>
      <c r="P14" s="145" cm="1">
        <f t="array" ref="P14">G14*C14</f>
        <v>0</v>
      </c>
      <c r="Q14" s="145" cm="1">
        <f t="array" ref="Q14">L14*C14</f>
        <v>0</v>
      </c>
    </row>
    <row r="15" ht="16" customHeight="1">
      <c r="A15" t="s" s="130">
        <v>226</v>
      </c>
      <c r="B15" t="s" s="131">
        <v>227</v>
      </c>
      <c r="C15" s="132">
        <v>30</v>
      </c>
      <c r="D15" t="s" s="133">
        <v>122</v>
      </c>
      <c r="E15" s="134">
        <v>32</v>
      </c>
      <c r="F15" s="135" cm="1">
        <f t="array" ref="F15">$C$4</f>
        <v>160</v>
      </c>
      <c r="G15" s="136" cm="1">
        <f t="array" ref="G15">E15*F15</f>
        <v>5120</v>
      </c>
      <c r="H15" s="136" cm="1">
        <f t="array" ref="H15">G15*$C$5</f>
        <v>1024</v>
      </c>
      <c r="I15" s="167">
        <v>0.053</v>
      </c>
      <c r="J15" s="136" cm="1">
        <f t="array" ref="J15">G15*I15</f>
        <v>271.36</v>
      </c>
      <c r="K15" s="136" cm="1">
        <f t="array" ref="K15">G15+H15+J15</f>
        <v>6415.36</v>
      </c>
      <c r="L15" s="136" cm="1">
        <f t="array" ref="L15">K15/$C$6</f>
        <v>16038.4</v>
      </c>
      <c r="M15" s="137" cm="1">
        <f t="array" ref="M15">ROUND(L15*(1+$C$7),0)</f>
        <v>17642</v>
      </c>
      <c r="N15" t="s" s="170">
        <v>30</v>
      </c>
      <c r="O15" t="s" s="170">
        <v>30</v>
      </c>
      <c r="P15" s="136" cm="1">
        <f t="array" ref="P15">G15*C15</f>
        <v>153600</v>
      </c>
      <c r="Q15" s="136" cm="1">
        <f t="array" ref="Q15">L15*C15</f>
        <v>481152</v>
      </c>
    </row>
    <row r="16" ht="16" customHeight="1">
      <c r="A16" t="s" s="139">
        <v>228</v>
      </c>
      <c r="B16" t="s" s="140">
        <v>229</v>
      </c>
      <c r="C16" s="141">
        <v>50</v>
      </c>
      <c r="D16" t="s" s="142">
        <v>122</v>
      </c>
      <c r="E16" s="143">
        <v>30</v>
      </c>
      <c r="F16" s="144" cm="1">
        <f t="array" ref="F16">$C$4</f>
        <v>160</v>
      </c>
      <c r="G16" s="145" cm="1">
        <f t="array" ref="G16">E16*F16</f>
        <v>4800</v>
      </c>
      <c r="H16" s="145" cm="1">
        <f t="array" ref="H16">G16*$C$5</f>
        <v>960</v>
      </c>
      <c r="I16" s="168">
        <v>0.091</v>
      </c>
      <c r="J16" s="145" cm="1">
        <f t="array" ref="J16">G16*I16</f>
        <v>436.8</v>
      </c>
      <c r="K16" s="145" cm="1">
        <f t="array" ref="K16">G16+H16+J16</f>
        <v>6196.8</v>
      </c>
      <c r="L16" s="145" cm="1">
        <f t="array" ref="L16">K16/$C$6</f>
        <v>15492</v>
      </c>
      <c r="M16" s="146" cm="1">
        <f t="array" ref="M16">ROUND(L16*(1+$C$7),0)</f>
        <v>17041</v>
      </c>
      <c r="N16" s="145">
        <v>8580</v>
      </c>
      <c r="O16" s="148" cm="1">
        <f t="array" ref="O16">M16-N16</f>
        <v>8461</v>
      </c>
      <c r="P16" s="145" cm="1">
        <f t="array" ref="P16">G16*C16</f>
        <v>240000</v>
      </c>
      <c r="Q16" s="145" cm="1">
        <f t="array" ref="Q16">L16*C16</f>
        <v>774600</v>
      </c>
    </row>
    <row r="17" ht="16" customHeight="1">
      <c r="A17" t="s" s="109">
        <v>148</v>
      </c>
      <c r="B17" s="110"/>
      <c r="C17" s="111" cm="1">
        <f t="array" ref="C17">SUM(C11:C16)</f>
        <v>190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2" cm="1">
        <f t="array" ref="P17">SUM(P11:P16)</f>
        <v>480000</v>
      </c>
      <c r="Q17" s="112" cm="1">
        <f t="array" ref="Q17">SUM(Q11:Q16)</f>
        <v>1526400</v>
      </c>
    </row>
    <row r="18" ht="13.5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ht="14" customHeight="1">
      <c r="A19" t="s" s="72">
        <v>230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4" customHeight="1">
      <c r="A20" t="s" s="72">
        <v>231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4" customHeight="1">
      <c r="A21" t="s" s="72">
        <v>232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4" customHeight="1">
      <c r="A22" t="s" s="72">
        <v>233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3.55" customHeight="1">
      <c r="A23" t="s" s="72">
        <v>234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3.55" customHeight="1">
      <c r="A24" t="s" s="72">
        <v>235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3.55" customHeight="1">
      <c r="A25" t="s" s="72">
        <v>236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